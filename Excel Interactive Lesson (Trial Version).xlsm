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u.boehringer.com\users\sin\users2\ghanim\Desktop\Macro\"/>
    </mc:Choice>
  </mc:AlternateContent>
  <bookViews>
    <workbookView xWindow="0" yWindow="0" windowWidth="20490" windowHeight="7620"/>
  </bookViews>
  <sheets>
    <sheet name="A Word" sheetId="10" r:id="rId1"/>
    <sheet name="Instructions" sheetId="1" state="veryHidden" r:id="rId2"/>
    <sheet name="Certificate" sheetId="8" state="veryHidden" r:id="rId3"/>
    <sheet name="Basics" sheetId="4" state="veryHidden" r:id="rId4"/>
    <sheet name="Maze" sheetId="5" state="veryHidden" r:id="rId5"/>
    <sheet name="Formula" sheetId="7" state="veryHidden" r:id="rId6"/>
    <sheet name="Conditional Formatting" sheetId="6" state="veryHidden" r:id="rId7"/>
    <sheet name="V-LookUp" sheetId="2" state="veryHidden" r:id="rId8"/>
    <sheet name="Pivot Table" sheetId="3" state="veryHidden" r:id="rId9"/>
  </sheets>
  <definedNames>
    <definedName name="_xlnm.Print_Area" localSheetId="2">Certificate!$B$2:$O$34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3" i="4" l="1"/>
  <c r="O14" i="4"/>
  <c r="O15" i="4"/>
  <c r="O16" i="4"/>
  <c r="O17" i="4"/>
  <c r="O18" i="4"/>
  <c r="O19" i="4"/>
</calcChain>
</file>

<file path=xl/sharedStrings.xml><?xml version="1.0" encoding="utf-8"?>
<sst xmlns="http://schemas.openxmlformats.org/spreadsheetml/2006/main" count="136" uniqueCount="107">
  <si>
    <t>Learning to navigate around an excel worksheet</t>
  </si>
  <si>
    <t>CTRL + (directional arrow)</t>
  </si>
  <si>
    <t>CTRL + SHIFT + (direction arrow)</t>
  </si>
  <si>
    <t>CTRL + SPACEBAR</t>
  </si>
  <si>
    <t>SHIFT + SPACEBAR</t>
  </si>
  <si>
    <t>CTRL + A</t>
  </si>
  <si>
    <t>CTRL + C</t>
  </si>
  <si>
    <t>CTRL + V</t>
  </si>
  <si>
    <t>è</t>
  </si>
  <si>
    <t>é</t>
  </si>
  <si>
    <t>ç</t>
  </si>
  <si>
    <t>ê</t>
  </si>
  <si>
    <t>Starting Point:</t>
  </si>
  <si>
    <t>INSTRUCTIONS:</t>
  </si>
  <si>
    <t>2) The worksheets can only be opened with a password.</t>
  </si>
  <si>
    <t>1) There are several worksheets with different Excel features to be tested.  It needs to be done in the order indicated below</t>
  </si>
  <si>
    <t>3) You will find or receive a password once the task has been completed. REMEMBER the password!</t>
  </si>
  <si>
    <t>- Move to the end of the "data"</t>
  </si>
  <si>
    <t>- Highlight while going to end of "data"</t>
  </si>
  <si>
    <t>- Highlight entire column</t>
  </si>
  <si>
    <t>- Highlight entire row</t>
  </si>
  <si>
    <t>- Select all cells</t>
  </si>
  <si>
    <t>- Copy a cell</t>
  </si>
  <si>
    <t>- Paste content into a cell</t>
  </si>
  <si>
    <t>- Edit content in a cell</t>
  </si>
  <si>
    <t>F2</t>
  </si>
  <si>
    <t>- Save content as text in cell</t>
  </si>
  <si>
    <t>5) The "Games" will get progressively more advanced on certain skills required. So make sure you practice!</t>
  </si>
  <si>
    <r>
      <t>4) If at any time you require help, just press "</t>
    </r>
    <r>
      <rPr>
        <sz val="11"/>
        <color rgb="FFFF0000"/>
        <rFont val="Calibri"/>
        <family val="2"/>
        <scheme val="minor"/>
      </rPr>
      <t>CTRL + H</t>
    </r>
    <r>
      <rPr>
        <sz val="11"/>
        <color theme="1"/>
        <rFont val="Calibri"/>
        <family val="2"/>
        <scheme val="minor"/>
      </rPr>
      <t>" to show the instruction for the "Game" you are playing.</t>
    </r>
  </si>
  <si>
    <t>6) The most important instruction is to enjoy the "Games" as you learn!</t>
  </si>
  <si>
    <t>ORDER OF THE GAMES:</t>
  </si>
  <si>
    <t>- Starting a formula</t>
  </si>
  <si>
    <t>Begin with " ' "</t>
  </si>
  <si>
    <t>Begin with " = "</t>
  </si>
  <si>
    <t>Working with cells</t>
  </si>
  <si>
    <t>=AVERAGE(</t>
  </si>
  <si>
    <t>=AVERAGEIF(</t>
  </si>
  <si>
    <t>=COUNTA(</t>
  </si>
  <si>
    <t>=COUNTBLANK(</t>
  </si>
  <si>
    <t>=SUM(</t>
  </si>
  <si>
    <t>=SUMIF(</t>
  </si>
  <si>
    <t>Formula</t>
  </si>
  <si>
    <t>What does it do?</t>
  </si>
  <si>
    <t>Finds the average (or mean) of the range that meets the conditioned set</t>
  </si>
  <si>
    <t>Count the number of cell that are blank in a range</t>
  </si>
  <si>
    <t>Counts the number of cells that are not blank in a range</t>
  </si>
  <si>
    <t>Finds the average (or mean) of the range selected</t>
  </si>
  <si>
    <t>Adds all the numbers that meets the conditions in the range</t>
  </si>
  <si>
    <t>Adds all the numbers in the range</t>
  </si>
  <si>
    <t>What are the variables you need to input?</t>
  </si>
  <si>
    <t>Range</t>
  </si>
  <si>
    <t>Range &amp; Conditions</t>
  </si>
  <si>
    <t>How do I input the different parts of the formula?
Let's use some examples</t>
  </si>
  <si>
    <t>What are we trying to find?</t>
  </si>
  <si>
    <t>The average Helmi spent on drinks</t>
  </si>
  <si>
    <t>The number of things Helmi spent money on</t>
  </si>
  <si>
    <t>The number of things Helmi did not spend money</t>
  </si>
  <si>
    <t>The total amount Helmi spent on drinks in a day</t>
  </si>
  <si>
    <t>Helmi</t>
  </si>
  <si>
    <t>Drinks</t>
  </si>
  <si>
    <t>Food</t>
  </si>
  <si>
    <t>Pencil</t>
  </si>
  <si>
    <t>Umbrella</t>
  </si>
  <si>
    <t>=COUNTIF(</t>
  </si>
  <si>
    <t>Counts the number of cells that meets the condition in a range</t>
  </si>
  <si>
    <t>The average Helmi spent in a day</t>
  </si>
  <si>
    <t>There are too many formulas to be listed here. You can always refer to the 'Formulas Tab' and look through the other formulas. For now, the formulas below would assist in this "game" but you are not limited to only these:</t>
  </si>
  <si>
    <t>Arnold</t>
  </si>
  <si>
    <t>Betty</t>
  </si>
  <si>
    <t>Charlie</t>
  </si>
  <si>
    <t>Elijah</t>
  </si>
  <si>
    <t>Fiona</t>
  </si>
  <si>
    <t>The number of items that costs more than $2.00</t>
  </si>
  <si>
    <t>The total amount Helmi &amp; Deric spent in a day</t>
  </si>
  <si>
    <t>Top-Up Ezlink</t>
  </si>
  <si>
    <t>Tissue Paper</t>
  </si>
  <si>
    <t>Stationeries</t>
  </si>
  <si>
    <t>Petrol</t>
  </si>
  <si>
    <t>a) How much did everyone spent on 11th July 2018?</t>
  </si>
  <si>
    <t>* Remember to type in the formula in the box instead of the answers to the question.</t>
  </si>
  <si>
    <t>c) How many times did someone bought more than $20.00 worth of petrol?</t>
  </si>
  <si>
    <t>e) How much did Betty spent buying "Drinks" on 11th July 2018?</t>
  </si>
  <si>
    <t>Basics</t>
  </si>
  <si>
    <t>Maze</t>
  </si>
  <si>
    <t>Conditional Formatting</t>
  </si>
  <si>
    <t>V-LookUp</t>
  </si>
  <si>
    <t>Pivot Table</t>
  </si>
  <si>
    <t>Introductions</t>
  </si>
  <si>
    <t>The password you receive:</t>
  </si>
  <si>
    <t>ORANGE
CRAYON</t>
  </si>
  <si>
    <t>Some conditional formatting requires the knowledge of formulas. Don't worry, Excel comes with certain presets that allows you to bypass the formula writing process.
The picture on the right shows the presets that are available to you.
I personally find the 'Duplicate Values' to be very important in ensuring the data is optimal. The other include the 'Text that Contains' as it helps find certain things such as empty, redundant spaces that should not be there. For example, like in most postal codes.</t>
  </si>
  <si>
    <t>If you see this, please enable Macros because the Macros make the games run.</t>
  </si>
  <si>
    <t>POUCH</t>
  </si>
  <si>
    <t>Deric</t>
  </si>
  <si>
    <r>
      <t xml:space="preserve">The above table shows the amount spent by 6 individuals on 11th July 2018.
</t>
    </r>
    <r>
      <rPr>
        <u/>
        <sz val="11"/>
        <color theme="1"/>
        <rFont val="Calibri"/>
        <family val="2"/>
        <scheme val="minor"/>
      </rPr>
      <t>You have been tasked with finding the lock combination which is given as the answers to the question given.</t>
    </r>
    <r>
      <rPr>
        <sz val="11"/>
        <color theme="1"/>
        <rFont val="Calibri"/>
        <family val="2"/>
        <scheme val="minor"/>
      </rPr>
      <t xml:space="preserve">
</t>
    </r>
    <r>
      <rPr>
        <b/>
        <sz val="11"/>
        <color theme="1"/>
        <rFont val="Calibri"/>
        <family val="2"/>
        <scheme val="minor"/>
      </rPr>
      <t>Fill up the corresponding lock dial with the formula and press the unlock button to see if you are successful.</t>
    </r>
  </si>
  <si>
    <t>=AVERAGE(R13:R19)</t>
  </si>
  <si>
    <t>=AVERAGEIF(Q13:Q19,"Drinks",R13:R19)</t>
  </si>
  <si>
    <t>=COUNTIF(R13:R19, "&gt;2")</t>
  </si>
  <si>
    <t>=COUNTA(R13:R19)</t>
  </si>
  <si>
    <t>=COUNTBLANK(R13:R19)</t>
  </si>
  <si>
    <t>=SUM(R13:S19)</t>
  </si>
  <si>
    <t>=SUMIF(Q13:Q19,"Drinks",R13:R19)</t>
  </si>
  <si>
    <r>
      <rPr>
        <b/>
        <sz val="11"/>
        <color theme="1"/>
        <rFont val="Calibri"/>
        <family val="2"/>
        <scheme val="minor"/>
      </rPr>
      <t>Troubleshoot:</t>
    </r>
    <r>
      <rPr>
        <sz val="11"/>
        <color theme="1"/>
        <rFont val="Calibri"/>
        <family val="2"/>
        <scheme val="minor"/>
      </rPr>
      <t xml:space="preserve">
- If you received this Excel Interactive Lesson through email
   -&gt; 1) Download and save the file in your laptop (Preferably to be saved on desktop)
   -&gt; 2) Re-open the file again from your laptop (not through e-mail)
- If macros are not enabled
   -&gt; 1) You can check for the setting by going to 'Options -&gt; Trust Center -&gt; Trust Center Settings -&gt; Macro Settings
   -&gt; 2) Select the "Disable all macros except digitally signed macros"
   -&gt; 3) If it still does not work, check with your network administrators on the permissions given</t>
    </r>
  </si>
  <si>
    <r>
      <rPr>
        <b/>
        <sz val="11"/>
        <color theme="1"/>
        <rFont val="Calibri"/>
        <family val="2"/>
        <scheme val="minor"/>
      </rPr>
      <t xml:space="preserve">INSTRUCTIONS:
</t>
    </r>
    <r>
      <rPr>
        <sz val="11"/>
        <color theme="1"/>
        <rFont val="Calibri"/>
        <family val="2"/>
        <scheme val="minor"/>
      </rPr>
      <t xml:space="preserve">
1) You will begin at the starting point and </t>
    </r>
    <r>
      <rPr>
        <u/>
        <sz val="11"/>
        <color theme="1"/>
        <rFont val="Calibri"/>
        <family val="2"/>
        <scheme val="minor"/>
      </rPr>
      <t xml:space="preserve">follow the arrow continuously.
</t>
    </r>
    <r>
      <rPr>
        <sz val="11"/>
        <color theme="1"/>
        <rFont val="Calibri"/>
        <family val="2"/>
        <scheme val="minor"/>
      </rPr>
      <t xml:space="preserve">
2) At the end of the 'Maze' is a phrase which is the </t>
    </r>
    <r>
      <rPr>
        <sz val="11"/>
        <color rgb="FFFF0000"/>
        <rFont val="Calibri"/>
        <family val="2"/>
        <scheme val="minor"/>
      </rPr>
      <t>password</t>
    </r>
    <r>
      <rPr>
        <sz val="11"/>
        <color theme="1"/>
        <rFont val="Calibri"/>
        <family val="2"/>
        <scheme val="minor"/>
      </rPr>
      <t xml:space="preserve"> for the next 'Game'.
</t>
    </r>
    <r>
      <rPr>
        <b/>
        <u/>
        <sz val="11"/>
        <color theme="1"/>
        <rFont val="Calibri"/>
        <family val="2"/>
        <scheme val="minor"/>
      </rPr>
      <t>Tips</t>
    </r>
    <r>
      <rPr>
        <sz val="11"/>
        <color theme="1"/>
        <rFont val="Calibri"/>
        <family val="2"/>
        <scheme val="minor"/>
      </rPr>
      <t>: If you are lost, ''</t>
    </r>
    <r>
      <rPr>
        <b/>
        <sz val="11"/>
        <color rgb="FFFF0000"/>
        <rFont val="Calibri"/>
        <family val="2"/>
        <scheme val="minor"/>
      </rPr>
      <t>CTRL + R</t>
    </r>
    <r>
      <rPr>
        <sz val="11"/>
        <color theme="1"/>
        <rFont val="Calibri"/>
        <family val="2"/>
        <scheme val="minor"/>
      </rPr>
      <t>" will get you back to the starting point.</t>
    </r>
  </si>
  <si>
    <t>Jared</t>
  </si>
  <si>
    <t>b) What is the average spent on stationeries on 11th July 2018?</t>
  </si>
  <si>
    <t>d) How many individuals did not top up Ezlink card on 11th July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</si>
</sst>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_(&quot;$&quot;* \(#,##0.00\);_(&quot;$&quot;* &quot;-&quot;??_);_(@_)"/>
    <numFmt numFmtId="43" formatCode="_(* #,##0.00_);_(* \(#,##0.00\);_(* &quot;-&quot;??_);_(@_)"/>
  </numFmts>
  <fonts count="24" x14ac:knownFonts="1">
    <font>
      <sz val="11"/>
      <color theme="1"/>
      <name val="Calibri"/>
      <family val="2"/>
      <scheme val="minor"/>
    </font>
    <font>
      <sz val="11"/>
      <name val="Calibri"/>
      <family val="2"/>
      <scheme val="minor"/>
    </font>
    <font>
      <sz val="11"/>
      <color rgb="FFFF0000"/>
      <name val="Calibri"/>
      <family val="2"/>
      <scheme val="minor"/>
    </font>
    <font>
      <sz val="11"/>
      <color theme="1"/>
      <name val="Wingdings"/>
      <charset val="2"/>
    </font>
    <font>
      <sz val="11"/>
      <color theme="1"/>
      <name val="Calibri"/>
      <family val="2"/>
    </font>
    <font>
      <sz val="11"/>
      <color theme="1"/>
      <name val="Sylfaen"/>
      <family val="1"/>
    </font>
    <font>
      <sz val="11"/>
      <name val="Wingdings"/>
      <charset val="2"/>
    </font>
    <font>
      <sz val="16"/>
      <color theme="1"/>
      <name val="Calibri"/>
      <family val="2"/>
      <scheme val="minor"/>
    </font>
    <font>
      <sz val="18"/>
      <color theme="1"/>
      <name val="Calibri"/>
      <family val="2"/>
      <scheme val="minor"/>
    </font>
    <font>
      <sz val="11"/>
      <color theme="1"/>
      <name val="Calibri"/>
      <family val="2"/>
      <scheme val="minor"/>
    </font>
    <font>
      <b/>
      <sz val="11"/>
      <color theme="1"/>
      <name val="Calibri"/>
      <family val="2"/>
      <scheme val="minor"/>
    </font>
    <font>
      <u/>
      <sz val="11"/>
      <color theme="1"/>
      <name val="Calibri"/>
      <family val="2"/>
      <scheme val="minor"/>
    </font>
    <font>
      <sz val="11"/>
      <color theme="0"/>
      <name val="Calibri"/>
      <family val="2"/>
      <scheme val="minor"/>
    </font>
    <font>
      <sz val="11"/>
      <color rgb="FF7030A0"/>
      <name val="Calibri"/>
      <family val="2"/>
      <scheme val="minor"/>
    </font>
    <font>
      <sz val="11"/>
      <color rgb="FF00B050"/>
      <name val="Calibri"/>
      <family val="2"/>
      <scheme val="minor"/>
    </font>
    <font>
      <sz val="11"/>
      <color rgb="FFFFFF00"/>
      <name val="Calibri"/>
      <family val="2"/>
      <scheme val="minor"/>
    </font>
    <font>
      <sz val="11"/>
      <color rgb="FF0070C0"/>
      <name val="Calibri"/>
      <family val="2"/>
      <scheme val="minor"/>
    </font>
    <font>
      <sz val="10"/>
      <color theme="1"/>
      <name val="Calibri"/>
      <family val="2"/>
      <scheme val="minor"/>
    </font>
    <font>
      <sz val="11"/>
      <color theme="0" tint="-4.9989318521683403E-2"/>
      <name val="Wingdings"/>
      <charset val="2"/>
    </font>
    <font>
      <sz val="11"/>
      <color theme="0" tint="-4.9989318521683403E-2"/>
      <name val="Calibri"/>
      <family val="2"/>
      <scheme val="minor"/>
    </font>
    <font>
      <b/>
      <sz val="11"/>
      <color rgb="FFFF0000"/>
      <name val="Calibri"/>
      <family val="2"/>
      <scheme val="minor"/>
    </font>
    <font>
      <b/>
      <u/>
      <sz val="11"/>
      <color theme="1"/>
      <name val="Calibri"/>
      <family val="2"/>
      <scheme val="minor"/>
    </font>
    <font>
      <sz val="11"/>
      <color theme="4" tint="0.79998168889431442"/>
      <name val="Calibri"/>
      <family val="2"/>
      <scheme val="minor"/>
    </font>
    <font>
      <sz val="2"/>
      <color theme="1"/>
      <name val="Calibri"/>
      <family val="2"/>
      <scheme val="minor"/>
    </font>
  </fonts>
  <fills count="15">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3C6DC"/>
        <bgColor indexed="64"/>
      </patternFill>
    </fill>
    <fill>
      <patternFill patternType="solid">
        <fgColor indexed="8"/>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44" fontId="9" fillId="0" borderId="0" applyFont="0" applyFill="0" applyBorder="0" applyAlignment="0" applyProtection="0"/>
    <xf numFmtId="43" fontId="9" fillId="0" borderId="0" applyFont="0" applyFill="0" applyBorder="0" applyAlignment="0" applyProtection="0"/>
  </cellStyleXfs>
  <cellXfs count="155">
    <xf numFmtId="0" fontId="0" fillId="0" borderId="0" xfId="0"/>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0" fontId="3" fillId="2" borderId="0" xfId="0" applyFont="1" applyFill="1" applyProtection="1"/>
    <xf numFmtId="0" fontId="3" fillId="2" borderId="0" xfId="0" applyFont="1" applyFill="1" applyBorder="1" applyProtection="1"/>
    <xf numFmtId="0" fontId="3" fillId="0" borderId="0" xfId="0" applyFont="1" applyProtection="1"/>
    <xf numFmtId="0" fontId="3" fillId="0" borderId="0" xfId="0" applyFont="1" applyBorder="1" applyProtection="1"/>
    <xf numFmtId="0" fontId="3" fillId="0" borderId="0" xfId="0" applyFont="1" applyFill="1" applyProtection="1"/>
    <xf numFmtId="0" fontId="0" fillId="0" borderId="0" xfId="0" applyFill="1"/>
    <xf numFmtId="0" fontId="0" fillId="3" borderId="0" xfId="0" applyFill="1"/>
    <xf numFmtId="0" fontId="0" fillId="5" borderId="0" xfId="0" applyFill="1"/>
    <xf numFmtId="0" fontId="0" fillId="5" borderId="0" xfId="0" applyFill="1" applyBorder="1" applyAlignment="1">
      <alignment horizontal="left" vertical="center"/>
    </xf>
    <xf numFmtId="0" fontId="0" fillId="5" borderId="0" xfId="0" applyFill="1" applyBorder="1"/>
    <xf numFmtId="0" fontId="0" fillId="5" borderId="0" xfId="0" applyFill="1" applyBorder="1" applyAlignment="1">
      <alignment vertical="center"/>
    </xf>
    <xf numFmtId="0" fontId="0" fillId="5" borderId="0" xfId="0" applyFill="1" applyAlignment="1">
      <alignment vertical="center"/>
    </xf>
    <xf numFmtId="0" fontId="10" fillId="6" borderId="9" xfId="0" applyFont="1" applyFill="1" applyBorder="1" applyAlignment="1">
      <alignment horizontal="center" vertical="center"/>
    </xf>
    <xf numFmtId="43" fontId="0" fillId="6" borderId="11" xfId="2" applyFont="1" applyFill="1" applyBorder="1" applyAlignment="1" applyProtection="1">
      <alignment horizontal="center" vertical="center"/>
      <protection locked="0"/>
    </xf>
    <xf numFmtId="0" fontId="0" fillId="4" borderId="2" xfId="0" applyFill="1" applyBorder="1"/>
    <xf numFmtId="0" fontId="0" fillId="4" borderId="0" xfId="0" applyFill="1" applyBorder="1"/>
    <xf numFmtId="0" fontId="0" fillId="4" borderId="3" xfId="0" applyFill="1" applyBorder="1"/>
    <xf numFmtId="43" fontId="0" fillId="6" borderId="12" xfId="2" applyFont="1" applyFill="1" applyBorder="1" applyAlignment="1" applyProtection="1">
      <alignment horizontal="center" vertical="center"/>
      <protection locked="0"/>
    </xf>
    <xf numFmtId="0" fontId="3" fillId="9" borderId="2" xfId="0" applyFont="1" applyFill="1" applyBorder="1" applyAlignment="1" applyProtection="1">
      <alignment horizontal="center" vertical="center"/>
      <protection locked="0"/>
    </xf>
    <xf numFmtId="0" fontId="3" fillId="9" borderId="8" xfId="0" applyFont="1" applyFill="1" applyBorder="1" applyAlignment="1" applyProtection="1">
      <alignment horizontal="center" vertical="center"/>
      <protection locked="0"/>
    </xf>
    <xf numFmtId="0" fontId="3" fillId="9" borderId="3" xfId="0" applyFont="1" applyFill="1" applyBorder="1" applyAlignment="1" applyProtection="1">
      <alignment horizontal="center" vertical="center"/>
      <protection locked="0"/>
    </xf>
    <xf numFmtId="0" fontId="3" fillId="9" borderId="0" xfId="0" applyFont="1" applyFill="1" applyAlignment="1" applyProtection="1">
      <alignment horizontal="center" vertical="center"/>
      <protection locked="0"/>
    </xf>
    <xf numFmtId="0" fontId="3" fillId="9" borderId="6" xfId="0" applyFont="1" applyFill="1" applyBorder="1" applyAlignment="1" applyProtection="1">
      <alignment horizontal="center" vertical="center"/>
      <protection locked="0"/>
    </xf>
    <xf numFmtId="0" fontId="3" fillId="9" borderId="0" xfId="0" applyFont="1" applyFill="1" applyBorder="1" applyAlignment="1" applyProtection="1">
      <alignment horizontal="center" vertical="center"/>
      <protection locked="0"/>
    </xf>
    <xf numFmtId="0" fontId="3" fillId="9" borderId="4" xfId="0" applyFont="1" applyFill="1" applyBorder="1" applyAlignment="1" applyProtection="1">
      <alignment horizontal="center" vertical="center"/>
      <protection locked="0"/>
    </xf>
    <xf numFmtId="0" fontId="3" fillId="9" borderId="5" xfId="0" applyFont="1" applyFill="1" applyBorder="1" applyAlignment="1" applyProtection="1">
      <alignment horizontal="center" vertical="center"/>
      <protection locked="0"/>
    </xf>
    <xf numFmtId="0" fontId="3" fillId="9" borderId="7" xfId="0" applyFont="1" applyFill="1" applyBorder="1" applyAlignment="1" applyProtection="1">
      <alignment horizontal="center" vertical="center"/>
      <protection locked="0"/>
    </xf>
    <xf numFmtId="0" fontId="3" fillId="9" borderId="0" xfId="0" applyFont="1" applyFill="1" applyProtection="1"/>
    <xf numFmtId="0" fontId="5" fillId="9" borderId="0" xfId="0" applyFont="1" applyFill="1" applyProtection="1">
      <protection locked="0"/>
    </xf>
    <xf numFmtId="0" fontId="3" fillId="9" borderId="0" xfId="0" applyFont="1" applyFill="1" applyBorder="1" applyProtection="1"/>
    <xf numFmtId="0" fontId="3" fillId="9" borderId="0" xfId="0" applyFont="1" applyFill="1" applyProtection="1">
      <protection locked="0"/>
    </xf>
    <xf numFmtId="0" fontId="6" fillId="2" borderId="5" xfId="0" applyFont="1" applyFill="1" applyBorder="1" applyProtection="1"/>
    <xf numFmtId="0" fontId="3" fillId="2" borderId="5" xfId="0" applyFont="1" applyFill="1" applyBorder="1" applyProtection="1"/>
    <xf numFmtId="0" fontId="0" fillId="9" borderId="0" xfId="0" applyFill="1"/>
    <xf numFmtId="0" fontId="0" fillId="3" borderId="0" xfId="0" applyFill="1" applyAlignment="1">
      <alignment horizontal="center"/>
    </xf>
    <xf numFmtId="0" fontId="0" fillId="3" borderId="0" xfId="0" applyFill="1"/>
    <xf numFmtId="0" fontId="4" fillId="9" borderId="0" xfId="0" applyFont="1" applyFill="1" applyAlignment="1" applyProtection="1">
      <alignment horizontal="center" vertical="center"/>
      <protection locked="0"/>
    </xf>
    <xf numFmtId="0" fontId="1" fillId="3" borderId="0" xfId="0" applyFont="1" applyFill="1"/>
    <xf numFmtId="0" fontId="17" fillId="3" borderId="0" xfId="0" applyFont="1" applyFill="1" applyAlignment="1">
      <alignment wrapText="1"/>
    </xf>
    <xf numFmtId="0" fontId="1" fillId="2" borderId="1" xfId="0" applyFont="1" applyFill="1" applyBorder="1" applyProtection="1">
      <protection hidden="1"/>
    </xf>
    <xf numFmtId="0" fontId="0" fillId="2" borderId="2" xfId="0" applyFill="1" applyBorder="1" applyProtection="1">
      <protection hidden="1"/>
    </xf>
    <xf numFmtId="0" fontId="0" fillId="2" borderId="3" xfId="0" applyFill="1" applyBorder="1" applyProtection="1">
      <protection hidden="1"/>
    </xf>
    <xf numFmtId="0" fontId="0" fillId="2" borderId="0" xfId="0" applyFill="1" applyBorder="1" applyProtection="1">
      <protection hidden="1"/>
    </xf>
    <xf numFmtId="0" fontId="0" fillId="2" borderId="4" xfId="0" applyFill="1" applyBorder="1" applyProtection="1">
      <protection hidden="1"/>
    </xf>
    <xf numFmtId="0" fontId="0" fillId="2" borderId="5" xfId="0" applyFill="1" applyBorder="1" applyProtection="1">
      <protection hidden="1"/>
    </xf>
    <xf numFmtId="0" fontId="0" fillId="11" borderId="0" xfId="0" applyFill="1"/>
    <xf numFmtId="0" fontId="0" fillId="2" borderId="0" xfId="0" applyFill="1"/>
    <xf numFmtId="0" fontId="0" fillId="0" borderId="0" xfId="0" applyBorder="1"/>
    <xf numFmtId="0" fontId="0" fillId="3" borderId="1" xfId="0" applyFill="1" applyBorder="1"/>
    <xf numFmtId="0" fontId="0" fillId="3" borderId="2" xfId="0" applyFill="1" applyBorder="1"/>
    <xf numFmtId="0" fontId="0" fillId="3" borderId="8" xfId="0" applyFill="1" applyBorder="1"/>
    <xf numFmtId="0" fontId="0" fillId="3" borderId="3" xfId="0" applyFill="1" applyBorder="1"/>
    <xf numFmtId="0" fontId="0" fillId="3" borderId="6" xfId="0" applyFill="1" applyBorder="1"/>
    <xf numFmtId="0" fontId="0" fillId="3" borderId="4" xfId="0" applyFill="1" applyBorder="1"/>
    <xf numFmtId="0" fontId="0" fillId="3" borderId="5" xfId="0" applyFill="1" applyBorder="1"/>
    <xf numFmtId="0" fontId="0" fillId="3" borderId="7" xfId="0" applyFill="1" applyBorder="1"/>
    <xf numFmtId="0" fontId="0" fillId="9" borderId="0" xfId="0" applyFont="1" applyFill="1" applyAlignment="1" applyProtection="1">
      <alignment vertical="center" wrapText="1"/>
    </xf>
    <xf numFmtId="0" fontId="0" fillId="13" borderId="0" xfId="0" applyFill="1" applyBorder="1"/>
    <xf numFmtId="0" fontId="0" fillId="13" borderId="6" xfId="0" applyFill="1" applyBorder="1"/>
    <xf numFmtId="0" fontId="0" fillId="13" borderId="5" xfId="0" applyFill="1" applyBorder="1"/>
    <xf numFmtId="0" fontId="0" fillId="13" borderId="7" xfId="0" applyFill="1" applyBorder="1"/>
    <xf numFmtId="0" fontId="0" fillId="14" borderId="0" xfId="0" applyFill="1"/>
    <xf numFmtId="0" fontId="0" fillId="8" borderId="0" xfId="0" applyFill="1" applyProtection="1">
      <protection locked="0"/>
    </xf>
    <xf numFmtId="0" fontId="0" fillId="8" borderId="0" xfId="0" applyFill="1" applyBorder="1" applyAlignment="1" applyProtection="1">
      <alignment horizontal="left" vertical="center"/>
      <protection locked="0"/>
    </xf>
    <xf numFmtId="0" fontId="0" fillId="8" borderId="0" xfId="0" quotePrefix="1" applyFill="1" applyBorder="1" applyAlignment="1" applyProtection="1">
      <alignment horizontal="left" vertical="center"/>
      <protection locked="0"/>
    </xf>
    <xf numFmtId="0" fontId="0" fillId="7" borderId="0" xfId="0" applyFill="1" applyProtection="1">
      <protection locked="0"/>
    </xf>
    <xf numFmtId="0" fontId="12" fillId="8" borderId="0" xfId="0" applyFont="1" applyFill="1" applyProtection="1">
      <protection locked="0"/>
    </xf>
    <xf numFmtId="0" fontId="11" fillId="3" borderId="9" xfId="0" applyFont="1" applyFill="1" applyBorder="1" applyAlignment="1" applyProtection="1">
      <alignment vertical="center"/>
    </xf>
    <xf numFmtId="0" fontId="0" fillId="3" borderId="9" xfId="0" quotePrefix="1" applyFill="1" applyBorder="1" applyAlignment="1" applyProtection="1">
      <alignment vertical="center"/>
    </xf>
    <xf numFmtId="44" fontId="0" fillId="3" borderId="9" xfId="1" applyFont="1" applyFill="1" applyBorder="1" applyAlignment="1" applyProtection="1">
      <alignment horizontal="right" vertical="center"/>
    </xf>
    <xf numFmtId="1" fontId="0" fillId="3" borderId="9" xfId="1" applyNumberFormat="1" applyFont="1" applyFill="1" applyBorder="1" applyAlignment="1" applyProtection="1">
      <alignment horizontal="right" vertical="center"/>
    </xf>
    <xf numFmtId="0" fontId="0" fillId="3" borderId="9" xfId="0" applyFill="1" applyBorder="1" applyAlignment="1" applyProtection="1">
      <alignment vertical="center"/>
    </xf>
    <xf numFmtId="0" fontId="0" fillId="3" borderId="9" xfId="0" applyFill="1" applyBorder="1" applyAlignment="1" applyProtection="1">
      <alignment horizontal="center" vertical="center"/>
    </xf>
    <xf numFmtId="0" fontId="0" fillId="3" borderId="10" xfId="0" applyFill="1" applyBorder="1" applyAlignment="1" applyProtection="1">
      <alignment horizontal="center" vertical="center"/>
    </xf>
    <xf numFmtId="0" fontId="0" fillId="3" borderId="11" xfId="0" applyFill="1" applyBorder="1" applyAlignment="1" applyProtection="1">
      <alignment vertical="center"/>
    </xf>
    <xf numFmtId="44" fontId="0" fillId="3" borderId="11" xfId="1" applyFont="1" applyFill="1" applyBorder="1" applyAlignment="1" applyProtection="1">
      <alignment vertical="center"/>
    </xf>
    <xf numFmtId="44" fontId="0" fillId="3" borderId="6" xfId="1" applyFont="1" applyFill="1" applyBorder="1" applyAlignment="1" applyProtection="1">
      <alignment vertical="center"/>
    </xf>
    <xf numFmtId="0" fontId="0" fillId="3" borderId="12" xfId="0" applyFill="1" applyBorder="1" applyAlignment="1" applyProtection="1">
      <alignment vertical="center"/>
    </xf>
    <xf numFmtId="44" fontId="0" fillId="3" borderId="12" xfId="1" applyFont="1" applyFill="1" applyBorder="1" applyAlignment="1" applyProtection="1">
      <alignment vertical="center"/>
    </xf>
    <xf numFmtId="44" fontId="0" fillId="3" borderId="7" xfId="1" applyFont="1" applyFill="1" applyBorder="1" applyAlignment="1" applyProtection="1">
      <alignment vertical="center"/>
    </xf>
    <xf numFmtId="0" fontId="10" fillId="12" borderId="14" xfId="0" applyFont="1" applyFill="1" applyBorder="1" applyAlignment="1" applyProtection="1">
      <alignment horizontal="left" vertical="center"/>
    </xf>
    <xf numFmtId="0" fontId="0" fillId="12" borderId="15" xfId="0" applyFont="1" applyFill="1" applyBorder="1" applyAlignment="1" applyProtection="1">
      <alignment horizontal="left" vertical="center"/>
    </xf>
    <xf numFmtId="0" fontId="22" fillId="12" borderId="10" xfId="0" applyFont="1" applyFill="1" applyBorder="1" applyAlignment="1" applyProtection="1">
      <alignment horizontal="left" vertical="center"/>
    </xf>
    <xf numFmtId="0" fontId="0" fillId="12" borderId="9" xfId="0" quotePrefix="1" applyFill="1" applyBorder="1" applyAlignment="1" applyProtection="1">
      <alignment horizontal="left" vertical="center"/>
    </xf>
    <xf numFmtId="0" fontId="22" fillId="12" borderId="10" xfId="0" quotePrefix="1" applyFont="1" applyFill="1" applyBorder="1" applyProtection="1"/>
    <xf numFmtId="0" fontId="0" fillId="12" borderId="12" xfId="0" quotePrefix="1" applyFill="1" applyBorder="1" applyAlignment="1" applyProtection="1">
      <alignment horizontal="left" vertical="center"/>
    </xf>
    <xf numFmtId="0" fontId="0" fillId="12" borderId="9" xfId="0" applyFill="1" applyBorder="1" applyAlignment="1" applyProtection="1">
      <alignment horizontal="left" vertical="center"/>
    </xf>
    <xf numFmtId="0" fontId="23" fillId="0" borderId="3" xfId="0" applyFont="1" applyFill="1" applyBorder="1"/>
    <xf numFmtId="0" fontId="23" fillId="0" borderId="0" xfId="0" applyFont="1" applyFill="1"/>
    <xf numFmtId="0" fontId="23" fillId="0" borderId="6" xfId="0" applyFont="1" applyFill="1" applyBorder="1"/>
    <xf numFmtId="0" fontId="23" fillId="0" borderId="3" xfId="0" applyFont="1" applyBorder="1"/>
    <xf numFmtId="0" fontId="23" fillId="0" borderId="0" xfId="0" applyFont="1"/>
    <xf numFmtId="0" fontId="23" fillId="0" borderId="6" xfId="0" applyFont="1" applyBorder="1"/>
    <xf numFmtId="0" fontId="7" fillId="3" borderId="0" xfId="0" applyFont="1" applyFill="1" applyAlignment="1">
      <alignment horizontal="center" vertical="center" wrapText="1"/>
    </xf>
    <xf numFmtId="0" fontId="0" fillId="3" borderId="0" xfId="0" applyFill="1" applyBorder="1" applyAlignment="1">
      <alignment vertical="center" wrapText="1"/>
    </xf>
    <xf numFmtId="0" fontId="19" fillId="3" borderId="0" xfId="0" applyFont="1" applyFill="1" applyAlignment="1">
      <alignment horizontal="center"/>
    </xf>
    <xf numFmtId="0" fontId="18" fillId="3" borderId="0" xfId="0" applyFont="1" applyFill="1" applyAlignment="1">
      <alignment horizontal="center"/>
    </xf>
    <xf numFmtId="0" fontId="14" fillId="3" borderId="0" xfId="0" applyFont="1" applyFill="1" applyAlignment="1">
      <alignment horizontal="center"/>
    </xf>
    <xf numFmtId="0" fontId="13" fillId="3" borderId="0" xfId="0" applyFont="1" applyFill="1" applyAlignment="1">
      <alignment horizontal="center"/>
    </xf>
    <xf numFmtId="0" fontId="0" fillId="3" borderId="0" xfId="0" applyFill="1" applyAlignment="1">
      <alignment horizontal="left" vertical="center"/>
    </xf>
    <xf numFmtId="0" fontId="8" fillId="3" borderId="0" xfId="0" applyFont="1" applyFill="1" applyAlignment="1">
      <alignment vertical="center"/>
    </xf>
    <xf numFmtId="0" fontId="7" fillId="3" borderId="0" xfId="0" applyFont="1" applyFill="1" applyAlignment="1">
      <alignment horizontal="left" vertical="center"/>
    </xf>
    <xf numFmtId="0" fontId="0" fillId="3" borderId="0" xfId="0" applyFill="1" applyAlignment="1">
      <alignment horizontal="left" vertical="center" wrapText="1"/>
    </xf>
    <xf numFmtId="0" fontId="0" fillId="3" borderId="0" xfId="0" applyFill="1"/>
    <xf numFmtId="0" fontId="1" fillId="3" borderId="0" xfId="0" applyFont="1" applyFill="1" applyAlignment="1">
      <alignment horizontal="center"/>
    </xf>
    <xf numFmtId="0" fontId="6" fillId="3" borderId="0" xfId="0" applyFont="1" applyFill="1" applyAlignment="1">
      <alignment horizontal="center" vertical="top"/>
    </xf>
    <xf numFmtId="0" fontId="1" fillId="3" borderId="0" xfId="0" applyFont="1" applyFill="1" applyAlignment="1">
      <alignment horizontal="center" vertical="top"/>
    </xf>
    <xf numFmtId="0" fontId="18" fillId="3" borderId="0" xfId="0" applyFont="1" applyFill="1" applyAlignment="1">
      <alignment horizontal="center" vertical="top"/>
    </xf>
    <xf numFmtId="0" fontId="17" fillId="3" borderId="0" xfId="0" applyFont="1" applyFill="1" applyAlignment="1">
      <alignment wrapText="1"/>
    </xf>
    <xf numFmtId="0" fontId="2" fillId="3" borderId="0" xfId="0" applyFont="1" applyFill="1" applyAlignment="1">
      <alignment horizontal="center"/>
    </xf>
    <xf numFmtId="0" fontId="16" fillId="3" borderId="0" xfId="0" applyFont="1" applyFill="1" applyAlignment="1">
      <alignment horizontal="center"/>
    </xf>
    <xf numFmtId="0" fontId="15" fillId="3" borderId="0" xfId="0" applyFont="1" applyFill="1" applyAlignment="1">
      <alignment horizontal="center"/>
    </xf>
    <xf numFmtId="0" fontId="0" fillId="3" borderId="9" xfId="0" quotePrefix="1" applyFill="1" applyBorder="1" applyAlignment="1" applyProtection="1">
      <alignment horizontal="left" vertical="center" wrapText="1"/>
    </xf>
    <xf numFmtId="0" fontId="11" fillId="3" borderId="9" xfId="0" applyFont="1" applyFill="1" applyBorder="1" applyAlignment="1" applyProtection="1">
      <alignment horizontal="left" wrapText="1"/>
    </xf>
    <xf numFmtId="0" fontId="0" fillId="3" borderId="9" xfId="0" quotePrefix="1" applyFill="1" applyBorder="1" applyAlignment="1" applyProtection="1">
      <alignment horizontal="left" vertical="center"/>
    </xf>
    <xf numFmtId="0" fontId="0" fillId="12" borderId="9" xfId="0" quotePrefix="1" applyFill="1" applyBorder="1" applyAlignment="1" applyProtection="1">
      <alignment horizontal="left" vertical="center"/>
    </xf>
    <xf numFmtId="0" fontId="10" fillId="3" borderId="1" xfId="0" applyFont="1" applyFill="1" applyBorder="1" applyAlignment="1" applyProtection="1">
      <alignment vertical="center" wrapText="1"/>
    </xf>
    <xf numFmtId="0" fontId="10" fillId="3" borderId="2" xfId="0" applyFont="1" applyFill="1" applyBorder="1" applyAlignment="1" applyProtection="1">
      <alignment vertical="center" wrapText="1"/>
    </xf>
    <xf numFmtId="0" fontId="10" fillId="3" borderId="8" xfId="0" applyFont="1" applyFill="1" applyBorder="1" applyAlignment="1" applyProtection="1">
      <alignment vertical="center" wrapText="1"/>
    </xf>
    <xf numFmtId="0" fontId="10" fillId="3" borderId="4" xfId="0" applyFont="1" applyFill="1" applyBorder="1" applyAlignment="1" applyProtection="1">
      <alignment vertical="center" wrapText="1"/>
    </xf>
    <xf numFmtId="0" fontId="10" fillId="3" borderId="5" xfId="0" applyFont="1" applyFill="1" applyBorder="1" applyAlignment="1" applyProtection="1">
      <alignment vertical="center" wrapText="1"/>
    </xf>
    <xf numFmtId="0" fontId="10" fillId="3" borderId="7" xfId="0" applyFont="1" applyFill="1" applyBorder="1" applyAlignment="1" applyProtection="1">
      <alignment vertical="center" wrapText="1"/>
    </xf>
    <xf numFmtId="0" fontId="0" fillId="12" borderId="12" xfId="0" quotePrefix="1" applyFill="1" applyBorder="1" applyAlignment="1" applyProtection="1">
      <alignment horizontal="left" vertical="center" wrapText="1"/>
    </xf>
    <xf numFmtId="0" fontId="0" fillId="12" borderId="9" xfId="0" quotePrefix="1" applyFill="1" applyBorder="1" applyAlignment="1" applyProtection="1">
      <alignment horizontal="left" vertical="center" wrapText="1"/>
    </xf>
    <xf numFmtId="0" fontId="10" fillId="12" borderId="14" xfId="0" quotePrefix="1" applyFont="1" applyFill="1" applyBorder="1" applyAlignment="1" applyProtection="1">
      <alignment horizontal="left" vertical="center" wrapText="1"/>
    </xf>
    <xf numFmtId="0" fontId="10" fillId="12" borderId="15" xfId="0" quotePrefix="1" applyFont="1" applyFill="1" applyBorder="1" applyAlignment="1" applyProtection="1">
      <alignment horizontal="left" vertical="center" wrapText="1"/>
    </xf>
    <xf numFmtId="0" fontId="0" fillId="3" borderId="9" xfId="0" applyFill="1" applyBorder="1" applyAlignment="1" applyProtection="1">
      <alignment horizontal="left" wrapText="1"/>
    </xf>
    <xf numFmtId="0" fontId="0" fillId="3" borderId="9" xfId="0" applyFill="1" applyBorder="1" applyAlignment="1" applyProtection="1">
      <alignment horizontal="left" vertical="center" wrapText="1"/>
    </xf>
    <xf numFmtId="0" fontId="11" fillId="3" borderId="9" xfId="0" applyFont="1" applyFill="1" applyBorder="1" applyAlignment="1" applyProtection="1">
      <alignment horizontal="left" vertical="center"/>
    </xf>
    <xf numFmtId="0" fontId="11" fillId="3" borderId="9" xfId="0" applyFont="1" applyFill="1" applyBorder="1" applyAlignment="1" applyProtection="1">
      <alignment horizontal="left" vertical="center" wrapText="1"/>
    </xf>
    <xf numFmtId="0" fontId="0" fillId="6" borderId="13" xfId="0" applyFont="1" applyFill="1" applyBorder="1" applyAlignment="1" applyProtection="1">
      <alignment vertical="center" wrapText="1"/>
    </xf>
    <xf numFmtId="0" fontId="0" fillId="6" borderId="11" xfId="0" applyFont="1" applyFill="1" applyBorder="1" applyAlignment="1" applyProtection="1">
      <alignment vertical="center" wrapText="1"/>
    </xf>
    <xf numFmtId="0" fontId="0" fillId="6" borderId="12" xfId="0" applyFont="1" applyFill="1" applyBorder="1" applyAlignment="1" applyProtection="1">
      <alignment vertical="center" wrapText="1"/>
    </xf>
    <xf numFmtId="0" fontId="1" fillId="10" borderId="8" xfId="0" applyFont="1" applyFill="1" applyBorder="1" applyAlignment="1">
      <alignment horizontal="center" vertical="center" textRotation="255" wrapText="1"/>
    </xf>
    <xf numFmtId="0" fontId="1" fillId="10" borderId="6" xfId="0" applyFont="1" applyFill="1" applyBorder="1" applyAlignment="1">
      <alignment horizontal="center" vertical="center" textRotation="255"/>
    </xf>
    <xf numFmtId="43" fontId="0" fillId="3" borderId="13" xfId="2" applyFont="1" applyFill="1" applyBorder="1" applyAlignment="1" applyProtection="1">
      <alignment horizontal="center"/>
      <protection locked="0"/>
    </xf>
    <xf numFmtId="43" fontId="0" fillId="3" borderId="12" xfId="2" applyFont="1" applyFill="1" applyBorder="1" applyAlignment="1" applyProtection="1">
      <alignment horizontal="center"/>
      <protection locked="0"/>
    </xf>
    <xf numFmtId="1" fontId="0" fillId="3" borderId="13" xfId="0" applyNumberFormat="1" applyFill="1" applyBorder="1" applyAlignment="1" applyProtection="1">
      <alignment horizontal="center"/>
      <protection locked="0"/>
    </xf>
    <xf numFmtId="1" fontId="0" fillId="3" borderId="12" xfId="0" applyNumberFormat="1" applyFill="1" applyBorder="1" applyAlignment="1" applyProtection="1">
      <alignment horizontal="center"/>
      <protection locked="0"/>
    </xf>
    <xf numFmtId="0" fontId="0" fillId="6" borderId="3" xfId="0" quotePrefix="1" applyFont="1" applyFill="1" applyBorder="1" applyAlignment="1" applyProtection="1">
      <alignment horizontal="left"/>
      <protection locked="0"/>
    </xf>
    <xf numFmtId="0" fontId="0" fillId="6" borderId="0" xfId="0" quotePrefix="1" applyFont="1" applyFill="1" applyBorder="1" applyAlignment="1" applyProtection="1">
      <alignment horizontal="left"/>
      <protection locked="0"/>
    </xf>
    <xf numFmtId="0" fontId="0" fillId="5" borderId="0" xfId="0" applyFill="1" applyAlignment="1">
      <alignment horizontal="left" vertical="center" wrapText="1"/>
    </xf>
    <xf numFmtId="0" fontId="0" fillId="5" borderId="0" xfId="0" applyFill="1" applyBorder="1" applyAlignment="1">
      <alignment horizontal="left" vertical="center" wrapText="1"/>
    </xf>
    <xf numFmtId="0" fontId="0" fillId="6" borderId="0"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0" fillId="6" borderId="5" xfId="0" applyFont="1" applyFill="1" applyBorder="1" applyAlignment="1" applyProtection="1">
      <alignment horizontal="left"/>
      <protection locked="0"/>
    </xf>
    <xf numFmtId="0" fontId="0" fillId="5" borderId="0" xfId="0" applyFill="1" applyBorder="1" applyAlignment="1">
      <alignment horizontal="left" wrapText="1"/>
    </xf>
    <xf numFmtId="0" fontId="0" fillId="6" borderId="3" xfId="0" applyFont="1" applyFill="1" applyBorder="1" applyAlignment="1" applyProtection="1">
      <alignment horizontal="left"/>
      <protection locked="0"/>
    </xf>
    <xf numFmtId="0" fontId="0" fillId="6" borderId="1" xfId="0" applyFill="1" applyBorder="1" applyAlignment="1">
      <alignment horizontal="center"/>
    </xf>
    <xf numFmtId="0" fontId="0" fillId="6" borderId="2" xfId="0" applyFill="1" applyBorder="1" applyAlignment="1">
      <alignment horizontal="center"/>
    </xf>
    <xf numFmtId="0" fontId="0" fillId="0" borderId="0" xfId="0" applyFill="1" applyAlignment="1">
      <alignment horizontal="left" vertical="top" wrapText="1"/>
    </xf>
  </cellXfs>
  <cellStyles count="3">
    <cellStyle name="Comma" xfId="2" builtinId="3"/>
    <cellStyle name="Currency" xfId="1" builtinId="4"/>
    <cellStyle name="Normal" xfId="0" builtinId="0"/>
  </cellStyles>
  <dxfs count="0"/>
  <tableStyles count="0" defaultTableStyle="TableStyleMedium2" defaultPivotStyle="PivotStyleLight16"/>
  <colors>
    <mruColors>
      <color rgb="FFD3C6DC"/>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428234</xdr:colOff>
      <xdr:row>4</xdr:row>
      <xdr:rowOff>91479</xdr:rowOff>
    </xdr:from>
    <xdr:ext cx="6452177" cy="1466139"/>
    <xdr:sp macro="" textlink="">
      <xdr:nvSpPr>
        <xdr:cNvPr id="2" name="Rectangle 1"/>
        <xdr:cNvSpPr/>
      </xdr:nvSpPr>
      <xdr:spPr>
        <a:xfrm>
          <a:off x="1638469" y="853479"/>
          <a:ext cx="6452177" cy="1466139"/>
        </a:xfrm>
        <a:prstGeom prst="rect">
          <a:avLst/>
        </a:prstGeom>
        <a:noFill/>
      </xdr:spPr>
      <xdr:txBody>
        <a:bodyPr wrap="none" lIns="91440" tIns="45720" rIns="91440" bIns="45720">
          <a:prstTxWarp prst="textArchUp">
            <a:avLst/>
          </a:prstTxWarp>
          <a:spAutoFit/>
        </a:bodyPr>
        <a:lstStyle/>
        <a:p>
          <a:pPr algn="ctr"/>
          <a:r>
            <a:rPr lang="en-US" sz="5400" b="0" cap="none" spc="0">
              <a:ln w="0"/>
              <a:solidFill>
                <a:schemeClr val="tx1"/>
              </a:solidFill>
              <a:effectLst>
                <a:outerShdw blurRad="38100" dist="19050" dir="2700000" algn="tl" rotWithShape="0">
                  <a:schemeClr val="dk1">
                    <a:alpha val="40000"/>
                  </a:schemeClr>
                </a:outerShdw>
              </a:effectLst>
            </a:rPr>
            <a:t>Certificate</a:t>
          </a:r>
          <a:r>
            <a:rPr lang="en-US" sz="5400" b="0" cap="none" spc="0" baseline="0">
              <a:ln w="0"/>
              <a:solidFill>
                <a:schemeClr val="tx1"/>
              </a:solidFill>
              <a:effectLst>
                <a:outerShdw blurRad="38100" dist="19050" dir="2700000" algn="tl" rotWithShape="0">
                  <a:schemeClr val="dk1">
                    <a:alpha val="40000"/>
                  </a:schemeClr>
                </a:outerShdw>
              </a:effectLst>
            </a:rPr>
            <a:t> of Awesomeness</a:t>
          </a:r>
          <a:endParaRPr 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10</xdr:col>
      <xdr:colOff>0</xdr:colOff>
      <xdr:row>2</xdr:row>
      <xdr:rowOff>11206</xdr:rowOff>
    </xdr:from>
    <xdr:to>
      <xdr:col>12</xdr:col>
      <xdr:colOff>22412</xdr:colOff>
      <xdr:row>4</xdr:row>
      <xdr:rowOff>369793</xdr:rowOff>
    </xdr:to>
    <xdr:sp macro="[0]!Sheet2.GivePasswordClick" textlink="">
      <xdr:nvSpPr>
        <xdr:cNvPr id="2" name="Rectangle 1"/>
        <xdr:cNvSpPr/>
      </xdr:nvSpPr>
      <xdr:spPr>
        <a:xfrm>
          <a:off x="9144000" y="582706"/>
          <a:ext cx="1232647" cy="1120587"/>
        </a:xfrm>
        <a:prstGeom prst="rect">
          <a:avLst/>
        </a:prstGeom>
        <a:noFill/>
        <a:ln>
          <a:solidFill>
            <a:schemeClr val="tx1"/>
          </a:solidFill>
          <a:prstDash val="dash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cap="none" spc="0">
              <a:ln w="0"/>
              <a:solidFill>
                <a:schemeClr val="tx1"/>
              </a:solidFill>
              <a:effectLst>
                <a:outerShdw blurRad="38100" dist="19050" dir="2700000" algn="tl" rotWithShape="0">
                  <a:schemeClr val="dk1">
                    <a:alpha val="40000"/>
                  </a:schemeClr>
                </a:outerShdw>
              </a:effectLst>
            </a:rPr>
            <a:t>Start the GAME</a:t>
          </a:r>
          <a:r>
            <a:rPr lang="en-US" sz="2000" b="0" cap="none" spc="0" baseline="0">
              <a:ln w="0"/>
              <a:solidFill>
                <a:schemeClr val="tx1"/>
              </a:solidFill>
              <a:effectLst>
                <a:outerShdw blurRad="38100" dist="19050" dir="2700000" algn="tl" rotWithShape="0">
                  <a:schemeClr val="dk1">
                    <a:alpha val="40000"/>
                  </a:schemeClr>
                </a:outerShdw>
              </a:effectLst>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9525</xdr:colOff>
      <xdr:row>10</xdr:row>
      <xdr:rowOff>0</xdr:rowOff>
    </xdr:from>
    <xdr:to>
      <xdr:col>20</xdr:col>
      <xdr:colOff>0</xdr:colOff>
      <xdr:row>15</xdr:row>
      <xdr:rowOff>0</xdr:rowOff>
    </xdr:to>
    <xdr:sp macro="[0]!Sheet4.CheckForAnswers" textlink="">
      <xdr:nvSpPr>
        <xdr:cNvPr id="2" name="Rectangle 1"/>
        <xdr:cNvSpPr/>
      </xdr:nvSpPr>
      <xdr:spPr>
        <a:xfrm>
          <a:off x="11220450" y="5638800"/>
          <a:ext cx="600075" cy="952500"/>
        </a:xfrm>
        <a:prstGeom prst="rect">
          <a:avLst/>
        </a:prstGeom>
        <a:solidFill>
          <a:schemeClr val="bg1">
            <a:lumMod val="9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US" sz="700">
              <a:solidFill>
                <a:schemeClr val="tx1"/>
              </a:solidFill>
            </a:rPr>
            <a:t>UNLOCK</a:t>
          </a:r>
        </a:p>
      </xdr:txBody>
    </xdr:sp>
    <xdr:clientData fLocksWithSheet="0"/>
  </xdr:twoCellAnchor>
</xdr:wsDr>
</file>

<file path=xl/drawings/drawing4.xml><?xml version="1.0" encoding="utf-8"?>
<xdr:wsDr xmlns:xdr="http://schemas.openxmlformats.org/drawingml/2006/spreadsheetDrawing" xmlns:a="http://schemas.openxmlformats.org/drawingml/2006/main">
  <xdr:twoCellAnchor>
    <xdr:from>
      <xdr:col>21</xdr:col>
      <xdr:colOff>19050</xdr:colOff>
      <xdr:row>1</xdr:row>
      <xdr:rowOff>28576</xdr:rowOff>
    </xdr:from>
    <xdr:to>
      <xdr:col>46</xdr:col>
      <xdr:colOff>0</xdr:colOff>
      <xdr:row>29</xdr:row>
      <xdr:rowOff>119491</xdr:rowOff>
    </xdr:to>
    <xdr:pic>
      <xdr:nvPicPr>
        <xdr:cNvPr id="2" name="Picture 1"/>
        <xdr:cNvPicPr>
          <a:picLocks noChangeAspect="1"/>
        </xdr:cNvPicPr>
      </xdr:nvPicPr>
      <xdr:blipFill>
        <a:blip xmlns:r="http://schemas.openxmlformats.org/officeDocument/2006/relationships" r:embed="rId1"/>
        <a:stretch>
          <a:fillRect/>
        </a:stretch>
      </xdr:blipFill>
      <xdr:spPr>
        <a:xfrm>
          <a:off x="2419350" y="152401"/>
          <a:ext cx="2838450" cy="355801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J3:CA25"/>
  <sheetViews>
    <sheetView tabSelected="1" workbookViewId="0">
      <selection activeCell="D2" sqref="D2"/>
    </sheetView>
  </sheetViews>
  <sheetFormatPr defaultColWidth="1.7109375" defaultRowHeight="9.9499999999999993" customHeight="1" x14ac:dyDescent="0.25"/>
  <cols>
    <col min="1" max="16384" width="1.7109375" style="39"/>
  </cols>
  <sheetData>
    <row r="3" spans="14:79" ht="9.9499999999999993" customHeight="1" x14ac:dyDescent="0.25">
      <c r="AQ3" s="52"/>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4"/>
    </row>
    <row r="4" spans="14:79" ht="9.9499999999999993" customHeight="1" x14ac:dyDescent="0.25">
      <c r="AQ4" s="55"/>
      <c r="AR4" s="98" t="s">
        <v>102</v>
      </c>
      <c r="AS4" s="98"/>
      <c r="AT4" s="98"/>
      <c r="AU4" s="98"/>
      <c r="AV4" s="98"/>
      <c r="AW4" s="98"/>
      <c r="AX4" s="98"/>
      <c r="AY4" s="98"/>
      <c r="AZ4" s="98"/>
      <c r="BA4" s="98"/>
      <c r="BB4" s="98"/>
      <c r="BC4" s="98"/>
      <c r="BD4" s="98"/>
      <c r="BE4" s="98"/>
      <c r="BF4" s="98"/>
      <c r="BG4" s="98"/>
      <c r="BH4" s="98"/>
      <c r="BI4" s="98"/>
      <c r="BJ4" s="98"/>
      <c r="BK4" s="98"/>
      <c r="BL4" s="98"/>
      <c r="BM4" s="98"/>
      <c r="BN4" s="98"/>
      <c r="BO4" s="98"/>
      <c r="BP4" s="98"/>
      <c r="BQ4" s="98"/>
      <c r="BR4" s="98"/>
      <c r="BS4" s="98"/>
      <c r="BT4" s="98"/>
      <c r="BU4" s="98"/>
      <c r="BV4" s="98"/>
      <c r="BW4" s="98"/>
      <c r="BX4" s="98"/>
      <c r="BY4" s="98"/>
      <c r="BZ4" s="98"/>
      <c r="CA4" s="56"/>
    </row>
    <row r="5" spans="14:79" ht="9.9499999999999993" customHeight="1" x14ac:dyDescent="0.25">
      <c r="Y5" s="50"/>
      <c r="AQ5" s="55"/>
      <c r="AR5" s="98"/>
      <c r="AS5" s="98"/>
      <c r="AT5" s="98"/>
      <c r="AU5" s="98"/>
      <c r="AV5" s="98"/>
      <c r="AW5" s="98"/>
      <c r="AX5" s="98"/>
      <c r="AY5" s="98"/>
      <c r="AZ5" s="98"/>
      <c r="BA5" s="98"/>
      <c r="BB5" s="98"/>
      <c r="BC5" s="98"/>
      <c r="BD5" s="98"/>
      <c r="BE5" s="98"/>
      <c r="BF5" s="98"/>
      <c r="BG5" s="98"/>
      <c r="BH5" s="98"/>
      <c r="BI5" s="98"/>
      <c r="BJ5" s="98"/>
      <c r="BK5" s="98"/>
      <c r="BL5" s="98"/>
      <c r="BM5" s="98"/>
      <c r="BN5" s="98"/>
      <c r="BO5" s="98"/>
      <c r="BP5" s="98"/>
      <c r="BQ5" s="98"/>
      <c r="BR5" s="98"/>
      <c r="BS5" s="98"/>
      <c r="BT5" s="98"/>
      <c r="BU5" s="98"/>
      <c r="BV5" s="98"/>
      <c r="BW5" s="98"/>
      <c r="BX5" s="98"/>
      <c r="BY5" s="98"/>
      <c r="BZ5" s="98"/>
      <c r="CA5" s="56"/>
    </row>
    <row r="6" spans="14:79" ht="9.9499999999999993" customHeight="1" x14ac:dyDescent="0.25">
      <c r="X6" s="50"/>
      <c r="Y6" s="49"/>
      <c r="Z6" s="50"/>
      <c r="AQ6" s="55"/>
      <c r="AR6" s="98"/>
      <c r="AS6" s="98"/>
      <c r="AT6" s="98"/>
      <c r="AU6" s="98"/>
      <c r="AV6" s="98"/>
      <c r="AW6" s="98"/>
      <c r="AX6" s="98"/>
      <c r="AY6" s="98"/>
      <c r="AZ6" s="98"/>
      <c r="BA6" s="98"/>
      <c r="BB6" s="98"/>
      <c r="BC6" s="98"/>
      <c r="BD6" s="98"/>
      <c r="BE6" s="98"/>
      <c r="BF6" s="98"/>
      <c r="BG6" s="98"/>
      <c r="BH6" s="98"/>
      <c r="BI6" s="98"/>
      <c r="BJ6" s="98"/>
      <c r="BK6" s="98"/>
      <c r="BL6" s="98"/>
      <c r="BM6" s="98"/>
      <c r="BN6" s="98"/>
      <c r="BO6" s="98"/>
      <c r="BP6" s="98"/>
      <c r="BQ6" s="98"/>
      <c r="BR6" s="98"/>
      <c r="BS6" s="98"/>
      <c r="BT6" s="98"/>
      <c r="BU6" s="98"/>
      <c r="BV6" s="98"/>
      <c r="BW6" s="98"/>
      <c r="BX6" s="98"/>
      <c r="BY6" s="98"/>
      <c r="BZ6" s="98"/>
      <c r="CA6" s="56"/>
    </row>
    <row r="7" spans="14:79" ht="9.9499999999999993" customHeight="1" x14ac:dyDescent="0.25">
      <c r="W7" s="50"/>
      <c r="X7" s="49"/>
      <c r="Y7" s="49"/>
      <c r="Z7" s="49"/>
      <c r="AA7" s="50"/>
      <c r="AQ7" s="55"/>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56"/>
    </row>
    <row r="8" spans="14:79" ht="9.9499999999999993" customHeight="1" x14ac:dyDescent="0.25">
      <c r="V8" s="50"/>
      <c r="W8" s="49"/>
      <c r="X8" s="49"/>
      <c r="Y8" s="50"/>
      <c r="Z8" s="49"/>
      <c r="AA8" s="49"/>
      <c r="AB8" s="50"/>
      <c r="AQ8" s="55"/>
      <c r="AR8" s="98"/>
      <c r="AS8" s="98"/>
      <c r="AT8" s="98"/>
      <c r="AU8" s="98"/>
      <c r="AV8" s="98"/>
      <c r="AW8" s="98"/>
      <c r="AX8" s="98"/>
      <c r="AY8" s="98"/>
      <c r="AZ8" s="98"/>
      <c r="BA8" s="98"/>
      <c r="BB8" s="98"/>
      <c r="BC8" s="98"/>
      <c r="BD8" s="98"/>
      <c r="BE8" s="98"/>
      <c r="BF8" s="98"/>
      <c r="BG8" s="98"/>
      <c r="BH8" s="98"/>
      <c r="BI8" s="98"/>
      <c r="BJ8" s="98"/>
      <c r="BK8" s="98"/>
      <c r="BL8" s="98"/>
      <c r="BM8" s="98"/>
      <c r="BN8" s="98"/>
      <c r="BO8" s="98"/>
      <c r="BP8" s="98"/>
      <c r="BQ8" s="98"/>
      <c r="BR8" s="98"/>
      <c r="BS8" s="98"/>
      <c r="BT8" s="98"/>
      <c r="BU8" s="98"/>
      <c r="BV8" s="98"/>
      <c r="BW8" s="98"/>
      <c r="BX8" s="98"/>
      <c r="BY8" s="98"/>
      <c r="BZ8" s="98"/>
      <c r="CA8" s="56"/>
    </row>
    <row r="9" spans="14:79" ht="9.9499999999999993" customHeight="1" x14ac:dyDescent="0.25">
      <c r="U9" s="50"/>
      <c r="V9" s="49"/>
      <c r="W9" s="49"/>
      <c r="X9" s="49"/>
      <c r="Y9" s="50"/>
      <c r="Z9" s="49"/>
      <c r="AA9" s="49"/>
      <c r="AB9" s="49"/>
      <c r="AC9" s="50"/>
      <c r="AQ9" s="55"/>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56"/>
    </row>
    <row r="10" spans="14:79" ht="9.9499999999999993" customHeight="1" x14ac:dyDescent="0.25">
      <c r="T10" s="50"/>
      <c r="U10" s="49"/>
      <c r="V10" s="49"/>
      <c r="W10" s="49"/>
      <c r="X10" s="49"/>
      <c r="Y10" s="50"/>
      <c r="Z10" s="49"/>
      <c r="AA10" s="49"/>
      <c r="AB10" s="49"/>
      <c r="AC10" s="49"/>
      <c r="AD10" s="50"/>
      <c r="AQ10" s="55"/>
      <c r="AR10" s="98"/>
      <c r="AS10" s="98"/>
      <c r="AT10" s="98"/>
      <c r="AU10" s="98"/>
      <c r="AV10" s="98"/>
      <c r="AW10" s="98"/>
      <c r="AX10" s="98"/>
      <c r="AY10" s="98"/>
      <c r="AZ10" s="98"/>
      <c r="BA10" s="98"/>
      <c r="BB10" s="98"/>
      <c r="BC10" s="98"/>
      <c r="BD10" s="98"/>
      <c r="BE10" s="98"/>
      <c r="BF10" s="98"/>
      <c r="BG10" s="98"/>
      <c r="BH10" s="98"/>
      <c r="BI10" s="98"/>
      <c r="BJ10" s="98"/>
      <c r="BK10" s="98"/>
      <c r="BL10" s="98"/>
      <c r="BM10" s="98"/>
      <c r="BN10" s="98"/>
      <c r="BO10" s="98"/>
      <c r="BP10" s="98"/>
      <c r="BQ10" s="98"/>
      <c r="BR10" s="98"/>
      <c r="BS10" s="98"/>
      <c r="BT10" s="98"/>
      <c r="BU10" s="98"/>
      <c r="BV10" s="98"/>
      <c r="BW10" s="98"/>
      <c r="BX10" s="98"/>
      <c r="BY10" s="98"/>
      <c r="BZ10" s="98"/>
      <c r="CA10" s="56"/>
    </row>
    <row r="11" spans="14:79" ht="9.9499999999999993" customHeight="1" x14ac:dyDescent="0.25">
      <c r="S11" s="50"/>
      <c r="T11" s="49"/>
      <c r="U11" s="49"/>
      <c r="V11" s="49"/>
      <c r="W11" s="49"/>
      <c r="X11" s="49"/>
      <c r="Y11" s="50"/>
      <c r="Z11" s="49"/>
      <c r="AA11" s="49"/>
      <c r="AB11" s="49"/>
      <c r="AC11" s="49"/>
      <c r="AD11" s="49"/>
      <c r="AE11" s="50"/>
      <c r="AQ11" s="55"/>
      <c r="AR11" s="98"/>
      <c r="AS11" s="98"/>
      <c r="AT11" s="98"/>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56"/>
    </row>
    <row r="12" spans="14:79" ht="9.9499999999999993" customHeight="1" x14ac:dyDescent="0.25">
      <c r="R12" s="50"/>
      <c r="S12" s="49"/>
      <c r="T12" s="49"/>
      <c r="U12" s="49"/>
      <c r="V12" s="49"/>
      <c r="W12" s="49"/>
      <c r="X12" s="49"/>
      <c r="Y12" s="49"/>
      <c r="Z12" s="49"/>
      <c r="AA12" s="49"/>
      <c r="AB12" s="49"/>
      <c r="AC12" s="49"/>
      <c r="AD12" s="49"/>
      <c r="AE12" s="49"/>
      <c r="AF12" s="50"/>
      <c r="AQ12" s="55"/>
      <c r="AR12" s="98"/>
      <c r="AS12" s="98"/>
      <c r="AT12" s="98"/>
      <c r="AU12" s="98"/>
      <c r="AV12" s="98"/>
      <c r="AW12" s="98"/>
      <c r="AX12" s="98"/>
      <c r="AY12" s="98"/>
      <c r="AZ12" s="98"/>
      <c r="BA12" s="98"/>
      <c r="BB12" s="98"/>
      <c r="BC12" s="98"/>
      <c r="BD12" s="98"/>
      <c r="BE12" s="98"/>
      <c r="BF12" s="98"/>
      <c r="BG12" s="98"/>
      <c r="BH12" s="98"/>
      <c r="BI12" s="98"/>
      <c r="BJ12" s="98"/>
      <c r="BK12" s="98"/>
      <c r="BL12" s="98"/>
      <c r="BM12" s="98"/>
      <c r="BN12" s="98"/>
      <c r="BO12" s="98"/>
      <c r="BP12" s="98"/>
      <c r="BQ12" s="98"/>
      <c r="BR12" s="98"/>
      <c r="BS12" s="98"/>
      <c r="BT12" s="98"/>
      <c r="BU12" s="98"/>
      <c r="BV12" s="98"/>
      <c r="BW12" s="98"/>
      <c r="BX12" s="98"/>
      <c r="BY12" s="98"/>
      <c r="BZ12" s="98"/>
      <c r="CA12" s="56"/>
    </row>
    <row r="13" spans="14:79" ht="9.9499999999999993" customHeight="1" x14ac:dyDescent="0.25">
      <c r="Q13" s="50"/>
      <c r="R13" s="49"/>
      <c r="S13" s="49"/>
      <c r="T13" s="49"/>
      <c r="U13" s="49"/>
      <c r="V13" s="49"/>
      <c r="W13" s="49"/>
      <c r="X13" s="49"/>
      <c r="Y13" s="50"/>
      <c r="Z13" s="49"/>
      <c r="AA13" s="49"/>
      <c r="AB13" s="49"/>
      <c r="AC13" s="49"/>
      <c r="AD13" s="49"/>
      <c r="AE13" s="49"/>
      <c r="AF13" s="49"/>
      <c r="AG13" s="50"/>
      <c r="AQ13" s="55"/>
      <c r="AR13" s="98"/>
      <c r="AS13" s="98"/>
      <c r="AT13" s="98"/>
      <c r="AU13" s="98"/>
      <c r="AV13" s="98"/>
      <c r="AW13" s="98"/>
      <c r="AX13" s="98"/>
      <c r="AY13" s="98"/>
      <c r="AZ13" s="98"/>
      <c r="BA13" s="98"/>
      <c r="BB13" s="98"/>
      <c r="BC13" s="98"/>
      <c r="BD13" s="98"/>
      <c r="BE13" s="98"/>
      <c r="BF13" s="98"/>
      <c r="BG13" s="98"/>
      <c r="BH13" s="98"/>
      <c r="BI13" s="98"/>
      <c r="BJ13" s="98"/>
      <c r="BK13" s="98"/>
      <c r="BL13" s="98"/>
      <c r="BM13" s="98"/>
      <c r="BN13" s="98"/>
      <c r="BO13" s="98"/>
      <c r="BP13" s="98"/>
      <c r="BQ13" s="98"/>
      <c r="BR13" s="98"/>
      <c r="BS13" s="98"/>
      <c r="BT13" s="98"/>
      <c r="BU13" s="98"/>
      <c r="BV13" s="98"/>
      <c r="BW13" s="98"/>
      <c r="BX13" s="98"/>
      <c r="BY13" s="98"/>
      <c r="BZ13" s="98"/>
      <c r="CA13" s="56"/>
    </row>
    <row r="14" spans="14:79" ht="9.9499999999999993" customHeight="1" x14ac:dyDescent="0.25">
      <c r="P14" s="50"/>
      <c r="Q14" s="49"/>
      <c r="R14" s="49"/>
      <c r="S14" s="49"/>
      <c r="T14" s="49"/>
      <c r="U14" s="49"/>
      <c r="V14" s="49"/>
      <c r="W14" s="49"/>
      <c r="X14" s="49"/>
      <c r="Y14" s="49"/>
      <c r="Z14" s="49"/>
      <c r="AA14" s="49"/>
      <c r="AB14" s="49"/>
      <c r="AC14" s="49"/>
      <c r="AD14" s="49"/>
      <c r="AE14" s="49"/>
      <c r="AF14" s="49"/>
      <c r="AG14" s="49"/>
      <c r="AH14" s="50"/>
      <c r="AQ14" s="55"/>
      <c r="AR14" s="98"/>
      <c r="AS14" s="98"/>
      <c r="AT14" s="98"/>
      <c r="AU14" s="98"/>
      <c r="AV14" s="98"/>
      <c r="AW14" s="98"/>
      <c r="AX14" s="98"/>
      <c r="AY14" s="98"/>
      <c r="AZ14" s="98"/>
      <c r="BA14" s="98"/>
      <c r="BB14" s="98"/>
      <c r="BC14" s="98"/>
      <c r="BD14" s="98"/>
      <c r="BE14" s="98"/>
      <c r="BF14" s="98"/>
      <c r="BG14" s="98"/>
      <c r="BH14" s="98"/>
      <c r="BI14" s="98"/>
      <c r="BJ14" s="98"/>
      <c r="BK14" s="98"/>
      <c r="BL14" s="98"/>
      <c r="BM14" s="98"/>
      <c r="BN14" s="98"/>
      <c r="BO14" s="98"/>
      <c r="BP14" s="98"/>
      <c r="BQ14" s="98"/>
      <c r="BR14" s="98"/>
      <c r="BS14" s="98"/>
      <c r="BT14" s="98"/>
      <c r="BU14" s="98"/>
      <c r="BV14" s="98"/>
      <c r="BW14" s="98"/>
      <c r="BX14" s="98"/>
      <c r="BY14" s="98"/>
      <c r="BZ14" s="98"/>
      <c r="CA14" s="56"/>
    </row>
    <row r="15" spans="14:79" ht="9.9499999999999993" customHeight="1" x14ac:dyDescent="0.25">
      <c r="O15" s="50"/>
      <c r="P15" s="49"/>
      <c r="Q15" s="49"/>
      <c r="R15" s="49"/>
      <c r="S15" s="49"/>
      <c r="T15" s="49"/>
      <c r="U15" s="49"/>
      <c r="V15" s="49"/>
      <c r="W15" s="49"/>
      <c r="X15" s="49"/>
      <c r="Y15" s="49"/>
      <c r="Z15" s="49"/>
      <c r="AA15" s="49"/>
      <c r="AB15" s="49"/>
      <c r="AC15" s="49"/>
      <c r="AD15" s="49"/>
      <c r="AE15" s="49"/>
      <c r="AF15" s="49"/>
      <c r="AG15" s="49"/>
      <c r="AH15" s="49"/>
      <c r="AI15" s="50"/>
      <c r="AQ15" s="55"/>
      <c r="AR15" s="98"/>
      <c r="AS15" s="98"/>
      <c r="AT15" s="98"/>
      <c r="AU15" s="98"/>
      <c r="AV15" s="98"/>
      <c r="AW15" s="98"/>
      <c r="AX15" s="98"/>
      <c r="AY15" s="98"/>
      <c r="AZ15" s="98"/>
      <c r="BA15" s="98"/>
      <c r="BB15" s="98"/>
      <c r="BC15" s="98"/>
      <c r="BD15" s="98"/>
      <c r="BE15" s="98"/>
      <c r="BF15" s="98"/>
      <c r="BG15" s="98"/>
      <c r="BH15" s="98"/>
      <c r="BI15" s="98"/>
      <c r="BJ15" s="98"/>
      <c r="BK15" s="98"/>
      <c r="BL15" s="98"/>
      <c r="BM15" s="98"/>
      <c r="BN15" s="98"/>
      <c r="BO15" s="98"/>
      <c r="BP15" s="98"/>
      <c r="BQ15" s="98"/>
      <c r="BR15" s="98"/>
      <c r="BS15" s="98"/>
      <c r="BT15" s="98"/>
      <c r="BU15" s="98"/>
      <c r="BV15" s="98"/>
      <c r="BW15" s="98"/>
      <c r="BX15" s="98"/>
      <c r="BY15" s="98"/>
      <c r="BZ15" s="98"/>
      <c r="CA15" s="56"/>
    </row>
    <row r="16" spans="14:79" ht="9.9499999999999993" customHeight="1" x14ac:dyDescent="0.25">
      <c r="N16" s="50"/>
      <c r="O16" s="50"/>
      <c r="P16" s="50"/>
      <c r="Q16" s="50"/>
      <c r="R16" s="50"/>
      <c r="S16" s="50"/>
      <c r="T16" s="50"/>
      <c r="U16" s="50"/>
      <c r="V16" s="50"/>
      <c r="W16" s="50"/>
      <c r="X16" s="50"/>
      <c r="Y16" s="50"/>
      <c r="Z16" s="50"/>
      <c r="AA16" s="50"/>
      <c r="AB16" s="50"/>
      <c r="AC16" s="50"/>
      <c r="AD16" s="50"/>
      <c r="AE16" s="50"/>
      <c r="AF16" s="50"/>
      <c r="AG16" s="50"/>
      <c r="AH16" s="50"/>
      <c r="AI16" s="50"/>
      <c r="AJ16" s="50"/>
      <c r="AQ16" s="55"/>
      <c r="AR16" s="98"/>
      <c r="AS16" s="98"/>
      <c r="AT16" s="98"/>
      <c r="AU16" s="98"/>
      <c r="AV16" s="98"/>
      <c r="AW16" s="98"/>
      <c r="AX16" s="98"/>
      <c r="AY16" s="98"/>
      <c r="AZ16" s="98"/>
      <c r="BA16" s="98"/>
      <c r="BB16" s="98"/>
      <c r="BC16" s="98"/>
      <c r="BD16" s="98"/>
      <c r="BE16" s="98"/>
      <c r="BF16" s="98"/>
      <c r="BG16" s="98"/>
      <c r="BH16" s="98"/>
      <c r="BI16" s="98"/>
      <c r="BJ16" s="98"/>
      <c r="BK16" s="98"/>
      <c r="BL16" s="98"/>
      <c r="BM16" s="98"/>
      <c r="BN16" s="98"/>
      <c r="BO16" s="98"/>
      <c r="BP16" s="98"/>
      <c r="BQ16" s="98"/>
      <c r="BR16" s="98"/>
      <c r="BS16" s="98"/>
      <c r="BT16" s="98"/>
      <c r="BU16" s="98"/>
      <c r="BV16" s="98"/>
      <c r="BW16" s="98"/>
      <c r="BX16" s="98"/>
      <c r="BY16" s="98"/>
      <c r="BZ16" s="98"/>
      <c r="CA16" s="56"/>
    </row>
    <row r="17" spans="10:79" ht="9.9499999999999993" customHeight="1" x14ac:dyDescent="0.25">
      <c r="AQ17" s="55"/>
      <c r="AR17" s="98"/>
      <c r="AS17" s="98"/>
      <c r="AT17" s="98"/>
      <c r="AU17" s="98"/>
      <c r="AV17" s="98"/>
      <c r="AW17" s="98"/>
      <c r="AX17" s="98"/>
      <c r="AY17" s="98"/>
      <c r="AZ17" s="98"/>
      <c r="BA17" s="98"/>
      <c r="BB17" s="98"/>
      <c r="BC17" s="98"/>
      <c r="BD17" s="98"/>
      <c r="BE17" s="98"/>
      <c r="BF17" s="98"/>
      <c r="BG17" s="98"/>
      <c r="BH17" s="98"/>
      <c r="BI17" s="98"/>
      <c r="BJ17" s="98"/>
      <c r="BK17" s="98"/>
      <c r="BL17" s="98"/>
      <c r="BM17" s="98"/>
      <c r="BN17" s="98"/>
      <c r="BO17" s="98"/>
      <c r="BP17" s="98"/>
      <c r="BQ17" s="98"/>
      <c r="BR17" s="98"/>
      <c r="BS17" s="98"/>
      <c r="BT17" s="98"/>
      <c r="BU17" s="98"/>
      <c r="BV17" s="98"/>
      <c r="BW17" s="98"/>
      <c r="BX17" s="98"/>
      <c r="BY17" s="98"/>
      <c r="BZ17" s="98"/>
      <c r="CA17" s="56"/>
    </row>
    <row r="18" spans="10:79" ht="9.9499999999999993" customHeight="1" x14ac:dyDescent="0.25">
      <c r="AQ18" s="55"/>
      <c r="AR18" s="98"/>
      <c r="AS18" s="98"/>
      <c r="AT18" s="98"/>
      <c r="AU18" s="98"/>
      <c r="AV18" s="98"/>
      <c r="AW18" s="98"/>
      <c r="AX18" s="98"/>
      <c r="AY18" s="98"/>
      <c r="AZ18" s="98"/>
      <c r="BA18" s="98"/>
      <c r="BB18" s="98"/>
      <c r="BC18" s="98"/>
      <c r="BD18" s="98"/>
      <c r="BE18" s="98"/>
      <c r="BF18" s="98"/>
      <c r="BG18" s="98"/>
      <c r="BH18" s="98"/>
      <c r="BI18" s="98"/>
      <c r="BJ18" s="98"/>
      <c r="BK18" s="98"/>
      <c r="BL18" s="98"/>
      <c r="BM18" s="98"/>
      <c r="BN18" s="98"/>
      <c r="BO18" s="98"/>
      <c r="BP18" s="98"/>
      <c r="BQ18" s="98"/>
      <c r="BR18" s="98"/>
      <c r="BS18" s="98"/>
      <c r="BT18" s="98"/>
      <c r="BU18" s="98"/>
      <c r="BV18" s="98"/>
      <c r="BW18" s="98"/>
      <c r="BX18" s="98"/>
      <c r="BY18" s="98"/>
      <c r="BZ18" s="98"/>
      <c r="CA18" s="56"/>
    </row>
    <row r="19" spans="10:79" ht="9.9499999999999993" customHeight="1" x14ac:dyDescent="0.25">
      <c r="AQ19" s="55"/>
      <c r="AR19" s="98"/>
      <c r="AS19" s="98"/>
      <c r="AT19" s="98"/>
      <c r="AU19" s="98"/>
      <c r="AV19" s="98"/>
      <c r="AW19" s="98"/>
      <c r="AX19" s="98"/>
      <c r="AY19" s="98"/>
      <c r="AZ19" s="98"/>
      <c r="BA19" s="98"/>
      <c r="BB19" s="98"/>
      <c r="BC19" s="98"/>
      <c r="BD19" s="98"/>
      <c r="BE19" s="98"/>
      <c r="BF19" s="98"/>
      <c r="BG19" s="98"/>
      <c r="BH19" s="98"/>
      <c r="BI19" s="98"/>
      <c r="BJ19" s="98"/>
      <c r="BK19" s="98"/>
      <c r="BL19" s="98"/>
      <c r="BM19" s="98"/>
      <c r="BN19" s="98"/>
      <c r="BO19" s="98"/>
      <c r="BP19" s="98"/>
      <c r="BQ19" s="98"/>
      <c r="BR19" s="98"/>
      <c r="BS19" s="98"/>
      <c r="BT19" s="98"/>
      <c r="BU19" s="98"/>
      <c r="BV19" s="98"/>
      <c r="BW19" s="98"/>
      <c r="BX19" s="98"/>
      <c r="BY19" s="98"/>
      <c r="BZ19" s="98"/>
      <c r="CA19" s="56"/>
    </row>
    <row r="20" spans="10:79" ht="9.9499999999999993" customHeight="1" x14ac:dyDescent="0.25">
      <c r="J20" s="97" t="s">
        <v>91</v>
      </c>
      <c r="K20" s="97"/>
      <c r="L20" s="97"/>
      <c r="M20" s="97"/>
      <c r="N20" s="97"/>
      <c r="O20" s="97"/>
      <c r="P20" s="97"/>
      <c r="Q20" s="97"/>
      <c r="R20" s="97"/>
      <c r="S20" s="97"/>
      <c r="T20" s="97"/>
      <c r="U20" s="97"/>
      <c r="V20" s="97"/>
      <c r="W20" s="97"/>
      <c r="X20" s="97"/>
      <c r="Y20" s="97"/>
      <c r="Z20" s="97"/>
      <c r="AA20" s="97"/>
      <c r="AB20" s="97"/>
      <c r="AC20" s="97"/>
      <c r="AD20" s="97"/>
      <c r="AE20" s="97"/>
      <c r="AF20" s="97"/>
      <c r="AG20" s="97"/>
      <c r="AH20" s="97"/>
      <c r="AI20" s="97"/>
      <c r="AJ20" s="97"/>
      <c r="AK20" s="97"/>
      <c r="AL20" s="97"/>
      <c r="AM20" s="97"/>
      <c r="AN20" s="97"/>
      <c r="AQ20" s="55"/>
      <c r="AR20" s="98"/>
      <c r="AS20" s="98"/>
      <c r="AT20" s="98"/>
      <c r="AU20" s="98"/>
      <c r="AV20" s="98"/>
      <c r="AW20" s="98"/>
      <c r="AX20" s="98"/>
      <c r="AY20" s="98"/>
      <c r="AZ20" s="98"/>
      <c r="BA20" s="98"/>
      <c r="BB20" s="98"/>
      <c r="BC20" s="98"/>
      <c r="BD20" s="98"/>
      <c r="BE20" s="98"/>
      <c r="BF20" s="98"/>
      <c r="BG20" s="98"/>
      <c r="BH20" s="98"/>
      <c r="BI20" s="98"/>
      <c r="BJ20" s="98"/>
      <c r="BK20" s="98"/>
      <c r="BL20" s="98"/>
      <c r="BM20" s="98"/>
      <c r="BN20" s="98"/>
      <c r="BO20" s="98"/>
      <c r="BP20" s="98"/>
      <c r="BQ20" s="98"/>
      <c r="BR20" s="98"/>
      <c r="BS20" s="98"/>
      <c r="BT20" s="98"/>
      <c r="BU20" s="98"/>
      <c r="BV20" s="98"/>
      <c r="BW20" s="98"/>
      <c r="BX20" s="98"/>
      <c r="BY20" s="98"/>
      <c r="BZ20" s="98"/>
      <c r="CA20" s="56"/>
    </row>
    <row r="21" spans="10:79" ht="9.9499999999999993" customHeight="1" x14ac:dyDescent="0.25">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Q21" s="55"/>
      <c r="AR21" s="98"/>
      <c r="AS21" s="98"/>
      <c r="AT21" s="98"/>
      <c r="AU21" s="98"/>
      <c r="AV21" s="98"/>
      <c r="AW21" s="98"/>
      <c r="AX21" s="98"/>
      <c r="AY21" s="98"/>
      <c r="AZ21" s="98"/>
      <c r="BA21" s="98"/>
      <c r="BB21" s="98"/>
      <c r="BC21" s="98"/>
      <c r="BD21" s="98"/>
      <c r="BE21" s="98"/>
      <c r="BF21" s="98"/>
      <c r="BG21" s="98"/>
      <c r="BH21" s="98"/>
      <c r="BI21" s="98"/>
      <c r="BJ21" s="98"/>
      <c r="BK21" s="98"/>
      <c r="BL21" s="98"/>
      <c r="BM21" s="98"/>
      <c r="BN21" s="98"/>
      <c r="BO21" s="98"/>
      <c r="BP21" s="98"/>
      <c r="BQ21" s="98"/>
      <c r="BR21" s="98"/>
      <c r="BS21" s="98"/>
      <c r="BT21" s="98"/>
      <c r="BU21" s="98"/>
      <c r="BV21" s="98"/>
      <c r="BW21" s="98"/>
      <c r="BX21" s="98"/>
      <c r="BY21" s="98"/>
      <c r="BZ21" s="98"/>
      <c r="CA21" s="56"/>
    </row>
    <row r="22" spans="10:79" ht="9.9499999999999993" customHeight="1" x14ac:dyDescent="0.25">
      <c r="J22" s="97"/>
      <c r="K22" s="97"/>
      <c r="L22" s="97"/>
      <c r="M22" s="97"/>
      <c r="N22" s="97"/>
      <c r="O22" s="97"/>
      <c r="P22" s="97"/>
      <c r="Q22" s="97"/>
      <c r="R22" s="97"/>
      <c r="S22" s="97"/>
      <c r="T22" s="97"/>
      <c r="U22" s="97"/>
      <c r="V22" s="97"/>
      <c r="W22" s="97"/>
      <c r="X22" s="97"/>
      <c r="Y22" s="97"/>
      <c r="Z22" s="97"/>
      <c r="AA22" s="97"/>
      <c r="AB22" s="97"/>
      <c r="AC22" s="97"/>
      <c r="AD22" s="97"/>
      <c r="AE22" s="97"/>
      <c r="AF22" s="97"/>
      <c r="AG22" s="97"/>
      <c r="AH22" s="97"/>
      <c r="AI22" s="97"/>
      <c r="AJ22" s="97"/>
      <c r="AK22" s="97"/>
      <c r="AL22" s="97"/>
      <c r="AM22" s="97"/>
      <c r="AN22" s="97"/>
      <c r="AQ22" s="55"/>
      <c r="AR22" s="98"/>
      <c r="AS22" s="98"/>
      <c r="AT22" s="98"/>
      <c r="AU22" s="98"/>
      <c r="AV22" s="98"/>
      <c r="AW22" s="98"/>
      <c r="AX22" s="98"/>
      <c r="AY22" s="98"/>
      <c r="AZ22" s="98"/>
      <c r="BA22" s="98"/>
      <c r="BB22" s="98"/>
      <c r="BC22" s="98"/>
      <c r="BD22" s="98"/>
      <c r="BE22" s="98"/>
      <c r="BF22" s="98"/>
      <c r="BG22" s="98"/>
      <c r="BH22" s="98"/>
      <c r="BI22" s="98"/>
      <c r="BJ22" s="98"/>
      <c r="BK22" s="98"/>
      <c r="BL22" s="98"/>
      <c r="BM22" s="98"/>
      <c r="BN22" s="98"/>
      <c r="BO22" s="98"/>
      <c r="BP22" s="98"/>
      <c r="BQ22" s="98"/>
      <c r="BR22" s="98"/>
      <c r="BS22" s="98"/>
      <c r="BT22" s="98"/>
      <c r="BU22" s="98"/>
      <c r="BV22" s="98"/>
      <c r="BW22" s="98"/>
      <c r="BX22" s="98"/>
      <c r="BY22" s="98"/>
      <c r="BZ22" s="98"/>
      <c r="CA22" s="56"/>
    </row>
    <row r="23" spans="10:79" ht="9.9499999999999993" customHeight="1" x14ac:dyDescent="0.25">
      <c r="J23" s="97"/>
      <c r="K23" s="97"/>
      <c r="L23" s="97"/>
      <c r="M23" s="97"/>
      <c r="N23" s="97"/>
      <c r="O23" s="97"/>
      <c r="P23" s="97"/>
      <c r="Q23" s="97"/>
      <c r="R23" s="97"/>
      <c r="S23" s="97"/>
      <c r="T23" s="97"/>
      <c r="U23" s="97"/>
      <c r="V23" s="97"/>
      <c r="W23" s="97"/>
      <c r="X23" s="97"/>
      <c r="Y23" s="97"/>
      <c r="Z23" s="97"/>
      <c r="AA23" s="97"/>
      <c r="AB23" s="97"/>
      <c r="AC23" s="97"/>
      <c r="AD23" s="97"/>
      <c r="AE23" s="97"/>
      <c r="AF23" s="97"/>
      <c r="AG23" s="97"/>
      <c r="AH23" s="97"/>
      <c r="AI23" s="97"/>
      <c r="AJ23" s="97"/>
      <c r="AK23" s="97"/>
      <c r="AL23" s="97"/>
      <c r="AM23" s="97"/>
      <c r="AN23" s="97"/>
      <c r="AQ23" s="55"/>
      <c r="AR23" s="98"/>
      <c r="AS23" s="98"/>
      <c r="AT23" s="98"/>
      <c r="AU23" s="98"/>
      <c r="AV23" s="98"/>
      <c r="AW23" s="98"/>
      <c r="AX23" s="98"/>
      <c r="AY23" s="98"/>
      <c r="AZ23" s="98"/>
      <c r="BA23" s="98"/>
      <c r="BB23" s="98"/>
      <c r="BC23" s="98"/>
      <c r="BD23" s="98"/>
      <c r="BE23" s="98"/>
      <c r="BF23" s="98"/>
      <c r="BG23" s="98"/>
      <c r="BH23" s="98"/>
      <c r="BI23" s="98"/>
      <c r="BJ23" s="98"/>
      <c r="BK23" s="98"/>
      <c r="BL23" s="98"/>
      <c r="BM23" s="98"/>
      <c r="BN23" s="98"/>
      <c r="BO23" s="98"/>
      <c r="BP23" s="98"/>
      <c r="BQ23" s="98"/>
      <c r="BR23" s="98"/>
      <c r="BS23" s="98"/>
      <c r="BT23" s="98"/>
      <c r="BU23" s="98"/>
      <c r="BV23" s="98"/>
      <c r="BW23" s="98"/>
      <c r="BX23" s="98"/>
      <c r="BY23" s="98"/>
      <c r="BZ23" s="98"/>
      <c r="CA23" s="56"/>
    </row>
    <row r="24" spans="10:79" ht="9.9499999999999993" customHeight="1" x14ac:dyDescent="0.25">
      <c r="J24" s="97"/>
      <c r="K24" s="97"/>
      <c r="L24" s="97"/>
      <c r="M24" s="97"/>
      <c r="N24" s="97"/>
      <c r="O24" s="97"/>
      <c r="P24" s="97"/>
      <c r="Q24" s="97"/>
      <c r="R24" s="97"/>
      <c r="S24" s="97"/>
      <c r="T24" s="97"/>
      <c r="U24" s="97"/>
      <c r="V24" s="97"/>
      <c r="W24" s="97"/>
      <c r="X24" s="97"/>
      <c r="Y24" s="97"/>
      <c r="Z24" s="97"/>
      <c r="AA24" s="97"/>
      <c r="AB24" s="97"/>
      <c r="AC24" s="97"/>
      <c r="AD24" s="97"/>
      <c r="AE24" s="97"/>
      <c r="AF24" s="97"/>
      <c r="AG24" s="97"/>
      <c r="AH24" s="97"/>
      <c r="AI24" s="97"/>
      <c r="AJ24" s="97"/>
      <c r="AK24" s="97"/>
      <c r="AL24" s="97"/>
      <c r="AM24" s="97"/>
      <c r="AN24" s="97"/>
      <c r="AQ24" s="55"/>
      <c r="AR24" s="98"/>
      <c r="AS24" s="98"/>
      <c r="AT24" s="98"/>
      <c r="AU24" s="98"/>
      <c r="AV24" s="98"/>
      <c r="AW24" s="98"/>
      <c r="AX24" s="98"/>
      <c r="AY24" s="98"/>
      <c r="AZ24" s="98"/>
      <c r="BA24" s="98"/>
      <c r="BB24" s="98"/>
      <c r="BC24" s="98"/>
      <c r="BD24" s="98"/>
      <c r="BE24" s="98"/>
      <c r="BF24" s="98"/>
      <c r="BG24" s="98"/>
      <c r="BH24" s="98"/>
      <c r="BI24" s="98"/>
      <c r="BJ24" s="98"/>
      <c r="BK24" s="98"/>
      <c r="BL24" s="98"/>
      <c r="BM24" s="98"/>
      <c r="BN24" s="98"/>
      <c r="BO24" s="98"/>
      <c r="BP24" s="98"/>
      <c r="BQ24" s="98"/>
      <c r="BR24" s="98"/>
      <c r="BS24" s="98"/>
      <c r="BT24" s="98"/>
      <c r="BU24" s="98"/>
      <c r="BV24" s="98"/>
      <c r="BW24" s="98"/>
      <c r="BX24" s="98"/>
      <c r="BY24" s="98"/>
      <c r="BZ24" s="98"/>
      <c r="CA24" s="56"/>
    </row>
    <row r="25" spans="10:79" ht="9.9499999999999993" customHeight="1" x14ac:dyDescent="0.25">
      <c r="J25" s="97"/>
      <c r="K25" s="97"/>
      <c r="L25" s="97"/>
      <c r="M25" s="97"/>
      <c r="N25" s="97"/>
      <c r="O25" s="97"/>
      <c r="P25" s="97"/>
      <c r="Q25" s="97"/>
      <c r="R25" s="97"/>
      <c r="S25" s="97"/>
      <c r="T25" s="97"/>
      <c r="U25" s="97"/>
      <c r="V25" s="97"/>
      <c r="W25" s="97"/>
      <c r="X25" s="97"/>
      <c r="Y25" s="97"/>
      <c r="Z25" s="97"/>
      <c r="AA25" s="97"/>
      <c r="AB25" s="97"/>
      <c r="AC25" s="97"/>
      <c r="AD25" s="97"/>
      <c r="AE25" s="97"/>
      <c r="AF25" s="97"/>
      <c r="AG25" s="97"/>
      <c r="AH25" s="97"/>
      <c r="AI25" s="97"/>
      <c r="AJ25" s="97"/>
      <c r="AK25" s="97"/>
      <c r="AL25" s="97"/>
      <c r="AM25" s="97"/>
      <c r="AN25" s="97"/>
      <c r="AQ25" s="57"/>
      <c r="AR25" s="58"/>
      <c r="AS25" s="58"/>
      <c r="AT25" s="58"/>
      <c r="AU25" s="58"/>
      <c r="AV25" s="58"/>
      <c r="AW25" s="58"/>
      <c r="AX25" s="58"/>
      <c r="AY25" s="58"/>
      <c r="AZ25" s="58"/>
      <c r="BA25" s="58"/>
      <c r="BB25" s="58"/>
      <c r="BC25" s="58"/>
      <c r="BD25" s="58"/>
      <c r="BE25" s="58"/>
      <c r="BF25" s="58"/>
      <c r="BG25" s="58"/>
      <c r="BH25" s="58"/>
      <c r="BI25" s="58"/>
      <c r="BJ25" s="58"/>
      <c r="BK25" s="58"/>
      <c r="BL25" s="58"/>
      <c r="BM25" s="58"/>
      <c r="BN25" s="58"/>
      <c r="BO25" s="58"/>
      <c r="BP25" s="58"/>
      <c r="BQ25" s="58"/>
      <c r="BR25" s="58"/>
      <c r="BS25" s="58"/>
      <c r="BT25" s="58"/>
      <c r="BU25" s="58"/>
      <c r="BV25" s="58"/>
      <c r="BW25" s="58"/>
      <c r="BX25" s="58"/>
      <c r="BY25" s="58"/>
      <c r="BZ25" s="58"/>
      <c r="CA25" s="59"/>
    </row>
  </sheetData>
  <sheetProtection selectLockedCells="1"/>
  <mergeCells count="2">
    <mergeCell ref="J20:AN25"/>
    <mergeCell ref="AR4:BZ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1"/>
  <sheetViews>
    <sheetView zoomScaleNormal="100" zoomScaleSheetLayoutView="100" workbookViewId="0">
      <selection activeCell="G17" sqref="G17:H17"/>
    </sheetView>
  </sheetViews>
  <sheetFormatPr defaultRowHeight="15" x14ac:dyDescent="0.25"/>
  <cols>
    <col min="1" max="2" width="10.7109375" style="10" customWidth="1"/>
    <col min="3" max="3" width="2.7109375" style="10" customWidth="1"/>
    <col min="4" max="5" width="10.7109375" style="10" customWidth="1"/>
    <col min="6" max="6" width="2.7109375" style="10" customWidth="1"/>
    <col min="7" max="8" width="10.7109375" style="10" customWidth="1"/>
    <col min="9" max="9" width="2.7109375" style="10" customWidth="1"/>
    <col min="10" max="11" width="10.7109375" style="10" customWidth="1"/>
    <col min="12" max="12" width="2.7109375" style="10" customWidth="1"/>
    <col min="13" max="14" width="10.7109375" style="10" customWidth="1"/>
    <col min="15" max="15" width="2.7109375" style="10" customWidth="1"/>
    <col min="16" max="17" width="10.7109375" style="10" customWidth="1"/>
    <col min="18" max="16384" width="9.140625" style="10"/>
  </cols>
  <sheetData>
    <row r="1" spans="1:15" x14ac:dyDescent="0.25">
      <c r="A1" s="105" t="s">
        <v>13</v>
      </c>
      <c r="B1" s="105"/>
      <c r="C1" s="105"/>
      <c r="D1" s="105"/>
      <c r="E1" s="105"/>
      <c r="F1" s="105"/>
      <c r="G1" s="105"/>
      <c r="H1" s="105"/>
      <c r="I1" s="105"/>
      <c r="J1" s="105"/>
      <c r="K1" s="105"/>
      <c r="L1" s="105"/>
      <c r="M1" s="105"/>
    </row>
    <row r="2" spans="1:15" x14ac:dyDescent="0.25">
      <c r="A2" s="105"/>
      <c r="B2" s="105"/>
      <c r="C2" s="105"/>
      <c r="D2" s="105"/>
      <c r="E2" s="105"/>
      <c r="F2" s="105"/>
      <c r="G2" s="105"/>
      <c r="H2" s="105"/>
      <c r="I2" s="105"/>
      <c r="J2" s="105"/>
      <c r="K2" s="105"/>
      <c r="L2" s="105"/>
      <c r="M2" s="105"/>
    </row>
    <row r="3" spans="1:15" x14ac:dyDescent="0.25">
      <c r="A3" s="106" t="s">
        <v>15</v>
      </c>
      <c r="B3" s="106"/>
      <c r="C3" s="106"/>
      <c r="D3" s="106"/>
      <c r="E3" s="106"/>
      <c r="F3" s="106"/>
      <c r="G3" s="106"/>
      <c r="H3" s="106"/>
      <c r="I3" s="106"/>
      <c r="J3" s="106"/>
      <c r="K3" s="106"/>
      <c r="L3" s="106"/>
      <c r="M3" s="106"/>
    </row>
    <row r="4" spans="1:15" x14ac:dyDescent="0.25">
      <c r="A4" s="106"/>
      <c r="B4" s="106"/>
      <c r="C4" s="106"/>
      <c r="D4" s="106"/>
      <c r="E4" s="106"/>
      <c r="F4" s="106"/>
      <c r="G4" s="106"/>
      <c r="H4" s="106"/>
      <c r="I4" s="106"/>
      <c r="J4" s="106"/>
      <c r="K4" s="106"/>
      <c r="L4" s="106"/>
      <c r="M4" s="106"/>
    </row>
    <row r="5" spans="1:15" x14ac:dyDescent="0.25">
      <c r="A5" s="107" t="s">
        <v>14</v>
      </c>
      <c r="B5" s="107"/>
      <c r="C5" s="107"/>
      <c r="D5" s="107"/>
      <c r="E5" s="107"/>
      <c r="F5" s="107"/>
      <c r="G5" s="107"/>
      <c r="H5" s="107"/>
      <c r="I5" s="107"/>
      <c r="J5" s="107"/>
      <c r="K5" s="107"/>
      <c r="L5" s="107"/>
      <c r="M5" s="107"/>
    </row>
    <row r="6" spans="1:15" x14ac:dyDescent="0.25">
      <c r="A6" s="106" t="s">
        <v>16</v>
      </c>
      <c r="B6" s="106"/>
      <c r="C6" s="106"/>
      <c r="D6" s="106"/>
      <c r="E6" s="106"/>
      <c r="F6" s="106"/>
      <c r="G6" s="106"/>
      <c r="H6" s="106"/>
      <c r="I6" s="106"/>
      <c r="J6" s="106"/>
      <c r="K6" s="106"/>
      <c r="L6" s="106"/>
      <c r="M6" s="106"/>
    </row>
    <row r="7" spans="1:15" x14ac:dyDescent="0.25">
      <c r="A7" s="106"/>
      <c r="B7" s="106"/>
      <c r="C7" s="106"/>
      <c r="D7" s="106"/>
      <c r="E7" s="106"/>
      <c r="F7" s="106"/>
      <c r="G7" s="106"/>
      <c r="H7" s="106"/>
      <c r="I7" s="106"/>
      <c r="J7" s="106"/>
      <c r="K7" s="106"/>
      <c r="L7" s="106"/>
      <c r="M7" s="106"/>
    </row>
    <row r="8" spans="1:15" x14ac:dyDescent="0.25">
      <c r="A8" s="106" t="s">
        <v>28</v>
      </c>
      <c r="B8" s="106"/>
      <c r="C8" s="106"/>
      <c r="D8" s="106"/>
      <c r="E8" s="106"/>
      <c r="F8" s="106"/>
      <c r="G8" s="106"/>
      <c r="H8" s="106"/>
      <c r="I8" s="106"/>
      <c r="J8" s="106"/>
      <c r="K8" s="106"/>
      <c r="L8" s="106"/>
      <c r="M8" s="106"/>
    </row>
    <row r="9" spans="1:15" x14ac:dyDescent="0.25">
      <c r="A9" s="106"/>
      <c r="B9" s="106"/>
      <c r="C9" s="106"/>
      <c r="D9" s="106"/>
      <c r="E9" s="106"/>
      <c r="F9" s="106"/>
      <c r="G9" s="106"/>
      <c r="H9" s="106"/>
      <c r="I9" s="106"/>
      <c r="J9" s="106"/>
      <c r="K9" s="106"/>
      <c r="L9" s="106"/>
      <c r="M9" s="106"/>
    </row>
    <row r="10" spans="1:15" x14ac:dyDescent="0.25">
      <c r="A10" s="106" t="s">
        <v>27</v>
      </c>
      <c r="B10" s="106"/>
      <c r="C10" s="106"/>
      <c r="D10" s="106"/>
      <c r="E10" s="106"/>
      <c r="F10" s="106"/>
      <c r="G10" s="106"/>
      <c r="H10" s="106"/>
      <c r="I10" s="106"/>
      <c r="J10" s="106"/>
      <c r="K10" s="106"/>
      <c r="L10" s="106"/>
      <c r="M10" s="106"/>
    </row>
    <row r="11" spans="1:15" x14ac:dyDescent="0.25">
      <c r="A11" s="106"/>
      <c r="B11" s="106"/>
      <c r="C11" s="106"/>
      <c r="D11" s="106"/>
      <c r="E11" s="106"/>
      <c r="F11" s="106"/>
      <c r="G11" s="106"/>
      <c r="H11" s="106"/>
      <c r="I11" s="106"/>
      <c r="J11" s="106"/>
      <c r="K11" s="106"/>
      <c r="L11" s="106"/>
      <c r="M11" s="106"/>
    </row>
    <row r="12" spans="1:15" x14ac:dyDescent="0.25">
      <c r="A12" s="103" t="s">
        <v>29</v>
      </c>
      <c r="B12" s="103"/>
      <c r="C12" s="103"/>
      <c r="D12" s="103"/>
      <c r="E12" s="103"/>
      <c r="F12" s="103"/>
      <c r="G12" s="103"/>
      <c r="H12" s="103"/>
      <c r="I12" s="103"/>
      <c r="J12" s="103"/>
      <c r="K12" s="103"/>
      <c r="L12" s="103"/>
      <c r="M12" s="103"/>
    </row>
    <row r="14" spans="1:15" x14ac:dyDescent="0.25">
      <c r="A14" s="104" t="s">
        <v>30</v>
      </c>
      <c r="B14" s="104"/>
      <c r="C14" s="104"/>
      <c r="D14" s="104"/>
      <c r="E14" s="104"/>
      <c r="F14" s="104"/>
      <c r="G14" s="104"/>
      <c r="H14" s="104"/>
      <c r="I14" s="104"/>
      <c r="J14" s="104"/>
      <c r="K14" s="104"/>
      <c r="L14" s="104"/>
      <c r="M14" s="104"/>
    </row>
    <row r="15" spans="1:15" x14ac:dyDescent="0.25">
      <c r="A15" s="104"/>
      <c r="B15" s="104"/>
      <c r="C15" s="104"/>
      <c r="D15" s="104"/>
      <c r="E15" s="104"/>
      <c r="F15" s="104"/>
      <c r="G15" s="104"/>
      <c r="H15" s="104"/>
      <c r="I15" s="104"/>
      <c r="J15" s="104"/>
      <c r="K15" s="104"/>
      <c r="L15" s="104"/>
      <c r="M15" s="104"/>
    </row>
    <row r="16" spans="1:15" x14ac:dyDescent="0.25">
      <c r="A16" s="108" t="s">
        <v>87</v>
      </c>
      <c r="B16" s="108"/>
      <c r="C16" s="109" t="s">
        <v>8</v>
      </c>
      <c r="D16" s="108" t="s">
        <v>82</v>
      </c>
      <c r="E16" s="108"/>
      <c r="F16" s="109" t="s">
        <v>8</v>
      </c>
      <c r="G16" s="108" t="s">
        <v>83</v>
      </c>
      <c r="H16" s="108"/>
      <c r="I16" s="109" t="s">
        <v>8</v>
      </c>
      <c r="J16" s="108" t="s">
        <v>41</v>
      </c>
      <c r="K16" s="108"/>
      <c r="L16" s="38"/>
      <c r="O16" s="38"/>
    </row>
    <row r="17" spans="1:15" ht="15" customHeight="1" x14ac:dyDescent="0.25">
      <c r="A17" s="112" t="s">
        <v>88</v>
      </c>
      <c r="B17" s="112"/>
      <c r="C17" s="110"/>
      <c r="D17" s="101"/>
      <c r="E17" s="101"/>
      <c r="F17" s="110"/>
      <c r="G17" s="102"/>
      <c r="H17" s="102"/>
      <c r="I17" s="110"/>
      <c r="J17" s="99"/>
      <c r="K17" s="99"/>
      <c r="L17" s="38"/>
      <c r="O17" s="38"/>
    </row>
    <row r="18" spans="1:15" x14ac:dyDescent="0.25">
      <c r="A18" s="42"/>
      <c r="B18" s="42"/>
      <c r="J18" s="100" t="s">
        <v>11</v>
      </c>
      <c r="K18" s="100"/>
    </row>
    <row r="19" spans="1:15" x14ac:dyDescent="0.25">
      <c r="D19" s="99" t="s">
        <v>86</v>
      </c>
      <c r="E19" s="99"/>
      <c r="F19" s="111" t="s">
        <v>10</v>
      </c>
      <c r="G19" s="99" t="s">
        <v>85</v>
      </c>
      <c r="H19" s="99"/>
      <c r="I19" s="111" t="s">
        <v>10</v>
      </c>
      <c r="J19" s="99" t="s">
        <v>84</v>
      </c>
      <c r="K19" s="99"/>
    </row>
    <row r="20" spans="1:15" x14ac:dyDescent="0.25">
      <c r="D20" s="113"/>
      <c r="E20" s="113"/>
      <c r="F20" s="111"/>
      <c r="G20" s="115"/>
      <c r="H20" s="115"/>
      <c r="I20" s="111"/>
      <c r="J20" s="114"/>
      <c r="K20" s="114"/>
    </row>
    <row r="21" spans="1:15" x14ac:dyDescent="0.25">
      <c r="D21" s="41"/>
      <c r="E21" s="41"/>
      <c r="F21" s="41"/>
      <c r="G21" s="41"/>
      <c r="H21" s="41"/>
      <c r="I21" s="41"/>
      <c r="J21" s="41"/>
      <c r="K21" s="41"/>
    </row>
  </sheetData>
  <sheetProtection algorithmName="SHA-512" hashValue="xSO5h9wP/a1JSK2ISz4J+kO576dHwX+ZsOfUau4Ub4V61CSGlO+Q44Jv0cna/AkeihJ4clvssu8vhcOjOdvKrw==" saltValue="QxHhhv3WV3MR3n/hApMXpg==" spinCount="100000" sheet="1" objects="1" scenarios="1"/>
  <mergeCells count="28">
    <mergeCell ref="A10:M11"/>
    <mergeCell ref="J17:K17"/>
    <mergeCell ref="A16:B16"/>
    <mergeCell ref="D19:E19"/>
    <mergeCell ref="C16:C17"/>
    <mergeCell ref="F16:F17"/>
    <mergeCell ref="I16:I17"/>
    <mergeCell ref="I19:I20"/>
    <mergeCell ref="F19:F20"/>
    <mergeCell ref="D16:E16"/>
    <mergeCell ref="G16:H16"/>
    <mergeCell ref="A17:B17"/>
    <mergeCell ref="D20:E20"/>
    <mergeCell ref="J20:K20"/>
    <mergeCell ref="G20:H20"/>
    <mergeCell ref="J16:K16"/>
    <mergeCell ref="A1:M2"/>
    <mergeCell ref="A3:M4"/>
    <mergeCell ref="A5:M5"/>
    <mergeCell ref="A6:M7"/>
    <mergeCell ref="A8:M9"/>
    <mergeCell ref="G19:H19"/>
    <mergeCell ref="J18:K18"/>
    <mergeCell ref="D17:E17"/>
    <mergeCell ref="G17:H17"/>
    <mergeCell ref="A12:M12"/>
    <mergeCell ref="A14:M15"/>
    <mergeCell ref="J19:K19"/>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view="pageBreakPreview" zoomScale="85" zoomScaleNormal="70" zoomScaleSheetLayoutView="85" workbookViewId="0">
      <selection activeCell="O7" sqref="O7"/>
    </sheetView>
  </sheetViews>
  <sheetFormatPr defaultRowHeight="15" x14ac:dyDescent="0.25"/>
  <sheetData/>
  <pageMargins left="0.7" right="0.7" top="0.75"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U20"/>
  <sheetViews>
    <sheetView zoomScale="85" zoomScaleNormal="85" workbookViewId="0">
      <selection activeCell="K6" sqref="K6"/>
    </sheetView>
  </sheetViews>
  <sheetFormatPr defaultRowHeight="15" x14ac:dyDescent="0.25"/>
  <cols>
    <col min="1" max="1" width="2.7109375" style="66" customWidth="1"/>
    <col min="2" max="2" width="16.7109375" style="66" customWidth="1"/>
    <col min="3" max="3" width="20.5703125" style="66" customWidth="1"/>
    <col min="4" max="4" width="30.85546875" style="66" customWidth="1"/>
    <col min="5" max="5" width="2.7109375" style="66" customWidth="1"/>
    <col min="6" max="6" width="9.140625" style="66"/>
    <col min="7" max="7" width="18.7109375" style="70" customWidth="1"/>
    <col min="8" max="8" width="17.85546875" style="66" customWidth="1"/>
    <col min="9" max="16" width="9.140625" style="66"/>
    <col min="17" max="17" width="10.85546875" style="66" customWidth="1"/>
    <col min="18" max="16384" width="9.140625" style="66"/>
  </cols>
  <sheetData>
    <row r="2" spans="1:21" ht="30" customHeight="1" x14ac:dyDescent="0.25">
      <c r="B2" s="84" t="s">
        <v>0</v>
      </c>
      <c r="C2" s="85"/>
      <c r="D2" s="86"/>
      <c r="E2" s="67"/>
      <c r="F2" s="128" t="s">
        <v>34</v>
      </c>
      <c r="G2" s="129"/>
      <c r="H2" s="88"/>
    </row>
    <row r="3" spans="1:21" ht="30" customHeight="1" x14ac:dyDescent="0.25">
      <c r="B3" s="119" t="s">
        <v>17</v>
      </c>
      <c r="C3" s="119"/>
      <c r="D3" s="87" t="s">
        <v>1</v>
      </c>
      <c r="E3" s="67"/>
      <c r="F3" s="126" t="s">
        <v>22</v>
      </c>
      <c r="G3" s="126"/>
      <c r="H3" s="89" t="s">
        <v>6</v>
      </c>
    </row>
    <row r="4" spans="1:21" ht="30" customHeight="1" x14ac:dyDescent="0.25">
      <c r="B4" s="119" t="s">
        <v>18</v>
      </c>
      <c r="C4" s="119"/>
      <c r="D4" s="87" t="s">
        <v>2</v>
      </c>
      <c r="E4" s="67"/>
      <c r="F4" s="127" t="s">
        <v>23</v>
      </c>
      <c r="G4" s="127"/>
      <c r="H4" s="87" t="s">
        <v>7</v>
      </c>
    </row>
    <row r="5" spans="1:21" ht="30" customHeight="1" x14ac:dyDescent="0.25">
      <c r="B5" s="119" t="s">
        <v>19</v>
      </c>
      <c r="C5" s="119"/>
      <c r="D5" s="87" t="s">
        <v>3</v>
      </c>
      <c r="E5" s="67"/>
      <c r="F5" s="127" t="s">
        <v>24</v>
      </c>
      <c r="G5" s="127"/>
      <c r="H5" s="90" t="s">
        <v>25</v>
      </c>
    </row>
    <row r="6" spans="1:21" ht="30" customHeight="1" x14ac:dyDescent="0.25">
      <c r="B6" s="119" t="s">
        <v>20</v>
      </c>
      <c r="C6" s="119"/>
      <c r="D6" s="87" t="s">
        <v>4</v>
      </c>
      <c r="E6" s="67"/>
      <c r="F6" s="127" t="s">
        <v>26</v>
      </c>
      <c r="G6" s="127"/>
      <c r="H6" s="87" t="s">
        <v>32</v>
      </c>
    </row>
    <row r="7" spans="1:21" ht="30" customHeight="1" x14ac:dyDescent="0.25">
      <c r="B7" s="119" t="s">
        <v>21</v>
      </c>
      <c r="C7" s="119"/>
      <c r="D7" s="87" t="s">
        <v>5</v>
      </c>
      <c r="E7" s="68"/>
      <c r="F7" s="127" t="s">
        <v>31</v>
      </c>
      <c r="G7" s="127"/>
      <c r="H7" s="87" t="s">
        <v>33</v>
      </c>
    </row>
    <row r="9" spans="1:21" x14ac:dyDescent="0.25">
      <c r="A9" s="69"/>
      <c r="B9" s="69"/>
      <c r="C9" s="69"/>
      <c r="D9" s="69"/>
      <c r="E9" s="69"/>
      <c r="F9" s="69"/>
      <c r="G9" s="69"/>
      <c r="H9" s="69"/>
      <c r="I9" s="69"/>
      <c r="J9" s="69"/>
      <c r="K9" s="69"/>
      <c r="L9" s="69"/>
      <c r="M9" s="69"/>
      <c r="N9" s="69"/>
      <c r="O9" s="69"/>
      <c r="P9" s="69"/>
      <c r="Q9" s="69"/>
      <c r="R9" s="69"/>
      <c r="S9" s="69"/>
      <c r="T9" s="69"/>
      <c r="U9" s="69"/>
    </row>
    <row r="10" spans="1:21" ht="15" customHeight="1" x14ac:dyDescent="0.25">
      <c r="A10" s="69"/>
      <c r="B10" s="120" t="s">
        <v>66</v>
      </c>
      <c r="C10" s="121"/>
      <c r="D10" s="121"/>
      <c r="E10" s="121"/>
      <c r="F10" s="121"/>
      <c r="G10" s="121"/>
      <c r="H10" s="121"/>
      <c r="I10" s="121"/>
      <c r="J10" s="121"/>
      <c r="K10" s="121"/>
      <c r="L10" s="121"/>
      <c r="M10" s="121"/>
      <c r="N10" s="121"/>
      <c r="O10" s="122"/>
      <c r="P10" s="69"/>
      <c r="Q10" s="69"/>
      <c r="R10" s="69"/>
      <c r="S10" s="69"/>
      <c r="T10" s="69"/>
    </row>
    <row r="11" spans="1:21" x14ac:dyDescent="0.25">
      <c r="A11" s="69"/>
      <c r="B11" s="123"/>
      <c r="C11" s="124"/>
      <c r="D11" s="124"/>
      <c r="E11" s="124"/>
      <c r="F11" s="124"/>
      <c r="G11" s="124"/>
      <c r="H11" s="124"/>
      <c r="I11" s="124"/>
      <c r="J11" s="124"/>
      <c r="K11" s="124"/>
      <c r="L11" s="124"/>
      <c r="M11" s="124"/>
      <c r="N11" s="124"/>
      <c r="O11" s="125"/>
      <c r="P11" s="69"/>
      <c r="Q11" s="69"/>
      <c r="R11" s="69"/>
      <c r="S11" s="69"/>
      <c r="T11" s="69"/>
    </row>
    <row r="12" spans="1:21" ht="30" customHeight="1" x14ac:dyDescent="0.25">
      <c r="A12" s="69"/>
      <c r="B12" s="71" t="s">
        <v>41</v>
      </c>
      <c r="C12" s="132" t="s">
        <v>42</v>
      </c>
      <c r="D12" s="132"/>
      <c r="E12" s="132"/>
      <c r="F12" s="133" t="s">
        <v>49</v>
      </c>
      <c r="G12" s="133"/>
      <c r="H12" s="133" t="s">
        <v>53</v>
      </c>
      <c r="I12" s="133"/>
      <c r="J12" s="133"/>
      <c r="K12" s="117" t="s">
        <v>52</v>
      </c>
      <c r="L12" s="117"/>
      <c r="M12" s="117"/>
      <c r="N12" s="117"/>
      <c r="O12" s="117"/>
      <c r="P12" s="69"/>
      <c r="Q12" s="75"/>
      <c r="R12" s="76" t="s">
        <v>58</v>
      </c>
      <c r="S12" s="77" t="s">
        <v>104</v>
      </c>
      <c r="T12" s="69"/>
    </row>
    <row r="13" spans="1:21" ht="30" customHeight="1" x14ac:dyDescent="0.25">
      <c r="A13" s="69"/>
      <c r="B13" s="72" t="s">
        <v>35</v>
      </c>
      <c r="C13" s="131" t="s">
        <v>46</v>
      </c>
      <c r="D13" s="131"/>
      <c r="E13" s="131"/>
      <c r="F13" s="131" t="s">
        <v>50</v>
      </c>
      <c r="G13" s="131"/>
      <c r="H13" s="130" t="s">
        <v>65</v>
      </c>
      <c r="I13" s="130"/>
      <c r="J13" s="130"/>
      <c r="K13" s="118" t="s">
        <v>95</v>
      </c>
      <c r="L13" s="118"/>
      <c r="M13" s="118"/>
      <c r="N13" s="118"/>
      <c r="O13" s="73">
        <f>AVERAGE(R13:R19)</f>
        <v>3.8</v>
      </c>
      <c r="P13" s="69"/>
      <c r="Q13" s="78" t="s">
        <v>59</v>
      </c>
      <c r="R13" s="79">
        <v>1.5</v>
      </c>
      <c r="S13" s="80"/>
      <c r="T13" s="69"/>
    </row>
    <row r="14" spans="1:21" ht="30" customHeight="1" x14ac:dyDescent="0.25">
      <c r="A14" s="69"/>
      <c r="B14" s="72" t="s">
        <v>36</v>
      </c>
      <c r="C14" s="131" t="s">
        <v>43</v>
      </c>
      <c r="D14" s="131"/>
      <c r="E14" s="131"/>
      <c r="F14" s="131" t="s">
        <v>51</v>
      </c>
      <c r="G14" s="131"/>
      <c r="H14" s="130" t="s">
        <v>54</v>
      </c>
      <c r="I14" s="130"/>
      <c r="J14" s="130"/>
      <c r="K14" s="118" t="s">
        <v>96</v>
      </c>
      <c r="L14" s="118"/>
      <c r="M14" s="118"/>
      <c r="N14" s="118"/>
      <c r="O14" s="73">
        <f>AVERAGEIF(Q13:Q19,"Drinks",R13:R19)</f>
        <v>1.75</v>
      </c>
      <c r="P14" s="69"/>
      <c r="Q14" s="78" t="s">
        <v>60</v>
      </c>
      <c r="R14" s="79">
        <v>3</v>
      </c>
      <c r="S14" s="80"/>
      <c r="T14" s="69"/>
    </row>
    <row r="15" spans="1:21" ht="30" customHeight="1" x14ac:dyDescent="0.25">
      <c r="A15" s="69"/>
      <c r="B15" s="72" t="s">
        <v>63</v>
      </c>
      <c r="C15" s="131" t="s">
        <v>64</v>
      </c>
      <c r="D15" s="131"/>
      <c r="E15" s="131"/>
      <c r="F15" s="131" t="s">
        <v>51</v>
      </c>
      <c r="G15" s="131"/>
      <c r="H15" s="130" t="s">
        <v>72</v>
      </c>
      <c r="I15" s="130"/>
      <c r="J15" s="130"/>
      <c r="K15" s="116" t="s">
        <v>97</v>
      </c>
      <c r="L15" s="116"/>
      <c r="M15" s="116"/>
      <c r="N15" s="116"/>
      <c r="O15" s="74">
        <f>COUNTIF(R13:R19, "&gt;2")</f>
        <v>3</v>
      </c>
      <c r="P15" s="69"/>
      <c r="Q15" s="78" t="s">
        <v>59</v>
      </c>
      <c r="R15" s="79"/>
      <c r="S15" s="80">
        <v>1.2</v>
      </c>
      <c r="T15" s="69"/>
    </row>
    <row r="16" spans="1:21" ht="30" customHeight="1" x14ac:dyDescent="0.25">
      <c r="A16" s="69"/>
      <c r="B16" s="72" t="s">
        <v>37</v>
      </c>
      <c r="C16" s="131" t="s">
        <v>45</v>
      </c>
      <c r="D16" s="131"/>
      <c r="E16" s="131"/>
      <c r="F16" s="131" t="s">
        <v>50</v>
      </c>
      <c r="G16" s="131"/>
      <c r="H16" s="130" t="s">
        <v>55</v>
      </c>
      <c r="I16" s="130"/>
      <c r="J16" s="130"/>
      <c r="K16" s="118" t="s">
        <v>98</v>
      </c>
      <c r="L16" s="118"/>
      <c r="M16" s="118"/>
      <c r="N16" s="118"/>
      <c r="O16" s="74">
        <f>COUNTA(R13:R19)</f>
        <v>5</v>
      </c>
      <c r="P16" s="69"/>
      <c r="Q16" s="78" t="s">
        <v>60</v>
      </c>
      <c r="R16" s="79">
        <v>4.5</v>
      </c>
      <c r="S16" s="80"/>
      <c r="T16" s="69"/>
    </row>
    <row r="17" spans="1:21" ht="30" customHeight="1" x14ac:dyDescent="0.25">
      <c r="A17" s="69"/>
      <c r="B17" s="72" t="s">
        <v>38</v>
      </c>
      <c r="C17" s="131" t="s">
        <v>44</v>
      </c>
      <c r="D17" s="131"/>
      <c r="E17" s="131"/>
      <c r="F17" s="131" t="s">
        <v>50</v>
      </c>
      <c r="G17" s="131"/>
      <c r="H17" s="130" t="s">
        <v>56</v>
      </c>
      <c r="I17" s="130"/>
      <c r="J17" s="130"/>
      <c r="K17" s="118" t="s">
        <v>99</v>
      </c>
      <c r="L17" s="118"/>
      <c r="M17" s="118"/>
      <c r="N17" s="118"/>
      <c r="O17" s="74">
        <f>COUNTBLANK(R13:R19)</f>
        <v>2</v>
      </c>
      <c r="P17" s="69"/>
      <c r="Q17" s="78" t="s">
        <v>61</v>
      </c>
      <c r="R17" s="79"/>
      <c r="S17" s="80"/>
      <c r="T17" s="69"/>
    </row>
    <row r="18" spans="1:21" ht="30" customHeight="1" x14ac:dyDescent="0.25">
      <c r="A18" s="69"/>
      <c r="B18" s="72" t="s">
        <v>39</v>
      </c>
      <c r="C18" s="131" t="s">
        <v>48</v>
      </c>
      <c r="D18" s="131"/>
      <c r="E18" s="131"/>
      <c r="F18" s="131" t="s">
        <v>50</v>
      </c>
      <c r="G18" s="131"/>
      <c r="H18" s="130" t="s">
        <v>73</v>
      </c>
      <c r="I18" s="130"/>
      <c r="J18" s="130"/>
      <c r="K18" s="118" t="s">
        <v>100</v>
      </c>
      <c r="L18" s="118"/>
      <c r="M18" s="118"/>
      <c r="N18" s="118"/>
      <c r="O18" s="73">
        <f>SUM(R13:S19)</f>
        <v>20.2</v>
      </c>
      <c r="P18" s="69"/>
      <c r="Q18" s="78" t="s">
        <v>59</v>
      </c>
      <c r="R18" s="79">
        <v>2</v>
      </c>
      <c r="S18" s="80"/>
      <c r="T18" s="69"/>
    </row>
    <row r="19" spans="1:21" ht="30" customHeight="1" x14ac:dyDescent="0.25">
      <c r="A19" s="69"/>
      <c r="B19" s="72" t="s">
        <v>40</v>
      </c>
      <c r="C19" s="131" t="s">
        <v>47</v>
      </c>
      <c r="D19" s="131"/>
      <c r="E19" s="131"/>
      <c r="F19" s="131" t="s">
        <v>51</v>
      </c>
      <c r="G19" s="131"/>
      <c r="H19" s="130" t="s">
        <v>57</v>
      </c>
      <c r="I19" s="130"/>
      <c r="J19" s="130"/>
      <c r="K19" s="118" t="s">
        <v>101</v>
      </c>
      <c r="L19" s="118"/>
      <c r="M19" s="118"/>
      <c r="N19" s="118"/>
      <c r="O19" s="73">
        <f>SUMIF(Q13:Q19,"Drinks",R13:R19)</f>
        <v>3.5</v>
      </c>
      <c r="P19" s="69"/>
      <c r="Q19" s="81" t="s">
        <v>62</v>
      </c>
      <c r="R19" s="82">
        <v>8</v>
      </c>
      <c r="S19" s="83"/>
      <c r="T19" s="69"/>
    </row>
    <row r="20" spans="1:21" x14ac:dyDescent="0.25">
      <c r="A20" s="69"/>
      <c r="B20" s="69"/>
      <c r="C20" s="69"/>
      <c r="D20" s="69"/>
      <c r="E20" s="69"/>
      <c r="F20" s="69"/>
      <c r="G20" s="69"/>
      <c r="H20" s="69"/>
      <c r="I20" s="69"/>
      <c r="J20" s="69"/>
      <c r="K20" s="69"/>
      <c r="L20" s="69"/>
      <c r="M20" s="69"/>
      <c r="N20" s="69"/>
      <c r="O20" s="69"/>
      <c r="P20" s="69"/>
      <c r="Q20" s="69"/>
      <c r="R20" s="69"/>
      <c r="S20" s="69"/>
      <c r="T20" s="69"/>
      <c r="U20" s="69"/>
    </row>
  </sheetData>
  <sheetProtection algorithmName="SHA-512" hashValue="gvVFlok6W25FenMTYnoSPLsqmJQpG5jJ433ZfsJPXARpIF7IZubWosT5HPXqedLo4B1rFeuI62Zaixi4/vlKDQ==" saltValue="CaFkSuKN8J1xQfS6NuZDvQ==" spinCount="100000" sheet="1" objects="1" scenarios="1"/>
  <mergeCells count="44">
    <mergeCell ref="K19:N19"/>
    <mergeCell ref="C17:E17"/>
    <mergeCell ref="C16:E16"/>
    <mergeCell ref="H16:J16"/>
    <mergeCell ref="F16:G16"/>
    <mergeCell ref="H19:J19"/>
    <mergeCell ref="F19:G19"/>
    <mergeCell ref="C18:E18"/>
    <mergeCell ref="C19:E19"/>
    <mergeCell ref="K16:N16"/>
    <mergeCell ref="K17:N17"/>
    <mergeCell ref="H17:J17"/>
    <mergeCell ref="F17:G17"/>
    <mergeCell ref="K18:N18"/>
    <mergeCell ref="H18:J18"/>
    <mergeCell ref="F18:G18"/>
    <mergeCell ref="F2:G2"/>
    <mergeCell ref="H15:J15"/>
    <mergeCell ref="F14:G14"/>
    <mergeCell ref="F15:G15"/>
    <mergeCell ref="C13:E13"/>
    <mergeCell ref="C14:E14"/>
    <mergeCell ref="C15:E15"/>
    <mergeCell ref="C12:E12"/>
    <mergeCell ref="F12:G12"/>
    <mergeCell ref="F13:G13"/>
    <mergeCell ref="H12:J12"/>
    <mergeCell ref="H13:J13"/>
    <mergeCell ref="H14:J14"/>
    <mergeCell ref="K15:N15"/>
    <mergeCell ref="K12:O12"/>
    <mergeCell ref="K13:N13"/>
    <mergeCell ref="B3:C3"/>
    <mergeCell ref="B4:C4"/>
    <mergeCell ref="B5:C5"/>
    <mergeCell ref="B6:C6"/>
    <mergeCell ref="B7:C7"/>
    <mergeCell ref="K14:N14"/>
    <mergeCell ref="B10:O11"/>
    <mergeCell ref="F3:G3"/>
    <mergeCell ref="F4:G4"/>
    <mergeCell ref="F5:G5"/>
    <mergeCell ref="F6:G6"/>
    <mergeCell ref="F7:G7"/>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1004"/>
  <sheetViews>
    <sheetView topLeftCell="N864" workbookViewId="0">
      <selection activeCell="AA864" sqref="AA864"/>
    </sheetView>
  </sheetViews>
  <sheetFormatPr defaultColWidth="8.7109375" defaultRowHeight="15" customHeight="1" x14ac:dyDescent="0.25"/>
  <cols>
    <col min="1" max="1" width="2.85546875" style="8" customWidth="1"/>
    <col min="2" max="2" width="19.7109375" style="8" customWidth="1"/>
    <col min="3" max="3" width="13.28515625" style="8" customWidth="1"/>
    <col min="4" max="85" width="8.7109375" style="6"/>
    <col min="118" max="16384" width="8.7109375" style="6"/>
  </cols>
  <sheetData>
    <row r="1" spans="1:87" ht="15" customHeight="1" x14ac:dyDescent="0.25">
      <c r="A1" s="31"/>
      <c r="B1" s="31"/>
      <c r="C1" s="31"/>
      <c r="D1" s="35"/>
      <c r="E1" s="36"/>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37"/>
      <c r="CI1" s="37"/>
    </row>
    <row r="2" spans="1:87" ht="15" customHeight="1" x14ac:dyDescent="0.25">
      <c r="A2" s="31"/>
      <c r="B2" s="31"/>
      <c r="C2" s="32" t="s">
        <v>12</v>
      </c>
      <c r="D2" s="34" t="s">
        <v>8</v>
      </c>
      <c r="E2" s="27"/>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t="s">
        <v>11</v>
      </c>
      <c r="BO2" s="22"/>
      <c r="BP2" s="22"/>
      <c r="BQ2" s="22"/>
      <c r="BR2" s="22"/>
      <c r="BS2" s="22"/>
      <c r="BT2" s="22"/>
      <c r="BU2" s="22"/>
      <c r="BV2" s="22"/>
      <c r="BW2" s="22"/>
      <c r="BX2" s="22"/>
      <c r="BY2" s="22"/>
      <c r="BZ2" s="22"/>
      <c r="CA2" s="22"/>
      <c r="CB2" s="22"/>
      <c r="CC2" s="22"/>
      <c r="CD2" s="22"/>
      <c r="CE2" s="22"/>
      <c r="CF2" s="23"/>
      <c r="CG2" s="4"/>
      <c r="CH2" s="37"/>
      <c r="CI2" s="37"/>
    </row>
    <row r="3" spans="1:87" ht="15" customHeight="1" x14ac:dyDescent="0.25">
      <c r="A3" s="31"/>
      <c r="B3" s="31"/>
      <c r="C3" s="31"/>
      <c r="D3" s="4"/>
      <c r="E3" s="24"/>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6"/>
      <c r="CG3" s="4"/>
      <c r="CH3" s="37"/>
      <c r="CI3" s="37"/>
    </row>
    <row r="4" spans="1:87" ht="15" customHeight="1" x14ac:dyDescent="0.25">
      <c r="A4" s="60"/>
      <c r="B4" s="134" t="s">
        <v>103</v>
      </c>
      <c r="C4" s="31"/>
      <c r="D4" s="4"/>
      <c r="E4" s="24"/>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6"/>
      <c r="CG4" s="4"/>
      <c r="CH4" s="37"/>
      <c r="CI4" s="37"/>
    </row>
    <row r="5" spans="1:87" ht="15" customHeight="1" x14ac:dyDescent="0.25">
      <c r="A5" s="60"/>
      <c r="B5" s="135"/>
      <c r="C5" s="31"/>
      <c r="D5" s="4"/>
      <c r="E5" s="24"/>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6"/>
      <c r="CG5" s="4"/>
      <c r="CH5" s="37"/>
      <c r="CI5" s="37"/>
    </row>
    <row r="6" spans="1:87" ht="15" customHeight="1" x14ac:dyDescent="0.25">
      <c r="A6" s="60"/>
      <c r="B6" s="135"/>
      <c r="C6" s="31"/>
      <c r="D6" s="4"/>
      <c r="E6" s="24"/>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6"/>
      <c r="CG6" s="4"/>
      <c r="CH6" s="37"/>
      <c r="CI6" s="37"/>
    </row>
    <row r="7" spans="1:87" ht="15" customHeight="1" x14ac:dyDescent="0.25">
      <c r="A7" s="60"/>
      <c r="B7" s="135"/>
      <c r="C7" s="31"/>
      <c r="D7" s="4"/>
      <c r="E7" s="24"/>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6"/>
      <c r="CG7" s="4"/>
      <c r="CH7" s="37"/>
      <c r="CI7" s="37"/>
    </row>
    <row r="8" spans="1:87" ht="15" customHeight="1" x14ac:dyDescent="0.25">
      <c r="A8" s="60"/>
      <c r="B8" s="135"/>
      <c r="C8" s="31"/>
      <c r="D8" s="4"/>
      <c r="E8" s="24"/>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6"/>
      <c r="CG8" s="4"/>
      <c r="CH8" s="37"/>
      <c r="CI8" s="37"/>
    </row>
    <row r="9" spans="1:87" ht="15" customHeight="1" x14ac:dyDescent="0.25">
      <c r="A9" s="60"/>
      <c r="B9" s="135"/>
      <c r="C9" s="31"/>
      <c r="D9" s="4"/>
      <c r="E9" s="24"/>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6"/>
      <c r="CG9" s="4"/>
      <c r="CH9" s="37"/>
      <c r="CI9" s="37"/>
    </row>
    <row r="10" spans="1:87" ht="15" customHeight="1" x14ac:dyDescent="0.25">
      <c r="A10" s="60"/>
      <c r="B10" s="135"/>
      <c r="C10" s="31"/>
      <c r="D10" s="4"/>
      <c r="E10" s="24"/>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6"/>
      <c r="CG10" s="4"/>
      <c r="CH10" s="37"/>
      <c r="CI10" s="37"/>
    </row>
    <row r="11" spans="1:87" ht="15" customHeight="1" x14ac:dyDescent="0.25">
      <c r="A11" s="60"/>
      <c r="B11" s="135"/>
      <c r="C11" s="31"/>
      <c r="D11" s="4"/>
      <c r="E11" s="24"/>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6"/>
      <c r="CG11" s="4"/>
      <c r="CH11" s="37"/>
      <c r="CI11" s="37"/>
    </row>
    <row r="12" spans="1:87" ht="15" customHeight="1" x14ac:dyDescent="0.25">
      <c r="A12" s="60"/>
      <c r="B12" s="135"/>
      <c r="C12" s="31"/>
      <c r="D12" s="4"/>
      <c r="E12" s="24"/>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6"/>
      <c r="CG12" s="4"/>
      <c r="CH12" s="37"/>
      <c r="CI12" s="37"/>
    </row>
    <row r="13" spans="1:87" ht="15" customHeight="1" x14ac:dyDescent="0.25">
      <c r="A13" s="60"/>
      <c r="B13" s="135"/>
      <c r="C13" s="31"/>
      <c r="D13" s="4"/>
      <c r="E13" s="24"/>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6"/>
      <c r="CG13" s="4"/>
      <c r="CH13" s="37"/>
      <c r="CI13" s="37"/>
    </row>
    <row r="14" spans="1:87" ht="15" customHeight="1" x14ac:dyDescent="0.25">
      <c r="A14" s="60"/>
      <c r="B14" s="135"/>
      <c r="C14" s="31"/>
      <c r="D14" s="4"/>
      <c r="E14" s="24"/>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6"/>
      <c r="CG14" s="4"/>
      <c r="CH14" s="37"/>
      <c r="CI14" s="37"/>
    </row>
    <row r="15" spans="1:87" ht="15" customHeight="1" x14ac:dyDescent="0.25">
      <c r="A15" s="60"/>
      <c r="B15" s="135"/>
      <c r="C15" s="31"/>
      <c r="D15" s="4"/>
      <c r="E15" s="24"/>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6"/>
      <c r="CG15" s="4"/>
      <c r="CH15" s="37"/>
      <c r="CI15" s="37"/>
    </row>
    <row r="16" spans="1:87" ht="15" customHeight="1" x14ac:dyDescent="0.25">
      <c r="A16" s="60"/>
      <c r="B16" s="135"/>
      <c r="C16" s="31"/>
      <c r="D16" s="4"/>
      <c r="E16" s="24"/>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6"/>
      <c r="CG16" s="4"/>
      <c r="CH16" s="37"/>
      <c r="CI16" s="37"/>
    </row>
    <row r="17" spans="1:87" ht="15" customHeight="1" x14ac:dyDescent="0.25">
      <c r="A17" s="60"/>
      <c r="B17" s="135"/>
      <c r="C17" s="31"/>
      <c r="D17" s="4"/>
      <c r="E17" s="24"/>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6"/>
      <c r="CG17" s="4"/>
      <c r="CH17" s="37"/>
      <c r="CI17" s="37"/>
    </row>
    <row r="18" spans="1:87" ht="15" customHeight="1" x14ac:dyDescent="0.25">
      <c r="A18" s="60"/>
      <c r="B18" s="135"/>
      <c r="C18" s="31"/>
      <c r="D18" s="4"/>
      <c r="E18" s="24"/>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6"/>
      <c r="CG18" s="4"/>
      <c r="CH18" s="37"/>
      <c r="CI18" s="37"/>
    </row>
    <row r="19" spans="1:87" ht="15" customHeight="1" x14ac:dyDescent="0.25">
      <c r="A19" s="60"/>
      <c r="B19" s="135"/>
      <c r="C19" s="31"/>
      <c r="D19" s="4"/>
      <c r="E19" s="24"/>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6"/>
      <c r="CG19" s="4"/>
      <c r="CH19" s="37"/>
      <c r="CI19" s="37"/>
    </row>
    <row r="20" spans="1:87" ht="15" customHeight="1" x14ac:dyDescent="0.25">
      <c r="A20" s="60"/>
      <c r="B20" s="136"/>
      <c r="C20" s="31"/>
      <c r="D20" s="4"/>
      <c r="E20" s="24"/>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6"/>
      <c r="CG20" s="4"/>
      <c r="CH20" s="37"/>
      <c r="CI20" s="37"/>
    </row>
    <row r="21" spans="1:87" ht="15" customHeight="1" x14ac:dyDescent="0.25">
      <c r="A21" s="31"/>
      <c r="B21" s="31"/>
      <c r="C21" s="31"/>
      <c r="D21" s="4"/>
      <c r="E21" s="24"/>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6"/>
      <c r="CG21" s="4"/>
      <c r="CH21" s="37"/>
      <c r="CI21" s="37"/>
    </row>
    <row r="22" spans="1:87" ht="15" customHeight="1" x14ac:dyDescent="0.25">
      <c r="A22" s="31"/>
      <c r="B22" s="31"/>
      <c r="C22" s="31"/>
      <c r="D22" s="4"/>
      <c r="E22" s="24"/>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6"/>
      <c r="CG22" s="4"/>
      <c r="CH22" s="37"/>
      <c r="CI22" s="37"/>
    </row>
    <row r="23" spans="1:87" ht="15" customHeight="1" x14ac:dyDescent="0.25">
      <c r="A23" s="31"/>
      <c r="B23" s="31"/>
      <c r="C23" s="31"/>
      <c r="D23" s="4"/>
      <c r="E23" s="24"/>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6"/>
      <c r="CG23" s="4"/>
      <c r="CH23" s="37"/>
      <c r="CI23" s="37"/>
    </row>
    <row r="24" spans="1:87" ht="15" customHeight="1" x14ac:dyDescent="0.25">
      <c r="A24" s="31"/>
      <c r="B24" s="31"/>
      <c r="C24" s="31"/>
      <c r="D24" s="4"/>
      <c r="E24" s="24"/>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6"/>
      <c r="CG24" s="4"/>
      <c r="CH24" s="37"/>
      <c r="CI24" s="37"/>
    </row>
    <row r="25" spans="1:87" ht="15" customHeight="1" x14ac:dyDescent="0.25">
      <c r="A25" s="31"/>
      <c r="B25" s="31"/>
      <c r="C25" s="31"/>
      <c r="D25" s="4"/>
      <c r="E25" s="24"/>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6"/>
      <c r="CG25" s="4"/>
      <c r="CH25" s="37"/>
      <c r="CI25" s="37"/>
    </row>
    <row r="26" spans="1:87" ht="15" customHeight="1" x14ac:dyDescent="0.25">
      <c r="A26" s="31"/>
      <c r="B26" s="31"/>
      <c r="C26" s="31"/>
      <c r="D26" s="4"/>
      <c r="E26" s="24"/>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6"/>
      <c r="CG26" s="4"/>
      <c r="CH26" s="37"/>
      <c r="CI26" s="37"/>
    </row>
    <row r="27" spans="1:87" ht="15" customHeight="1" x14ac:dyDescent="0.25">
      <c r="A27" s="31"/>
      <c r="B27" s="31"/>
      <c r="C27" s="31"/>
      <c r="D27" s="4"/>
      <c r="E27" s="24"/>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6"/>
      <c r="CG27" s="4"/>
      <c r="CH27" s="37"/>
      <c r="CI27" s="37"/>
    </row>
    <row r="28" spans="1:87" ht="15" customHeight="1" x14ac:dyDescent="0.25">
      <c r="A28" s="31"/>
      <c r="B28" s="31"/>
      <c r="C28" s="31"/>
      <c r="D28" s="4"/>
      <c r="E28" s="24"/>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6"/>
      <c r="CG28" s="4"/>
      <c r="CH28" s="37"/>
      <c r="CI28" s="37"/>
    </row>
    <row r="29" spans="1:87" ht="15" customHeight="1" x14ac:dyDescent="0.25">
      <c r="A29" s="31"/>
      <c r="B29" s="31"/>
      <c r="C29" s="31"/>
      <c r="D29" s="4"/>
      <c r="E29" s="24"/>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6"/>
      <c r="CG29" s="4"/>
      <c r="CH29" s="37"/>
      <c r="CI29" s="37"/>
    </row>
    <row r="30" spans="1:87" ht="15" customHeight="1" x14ac:dyDescent="0.25">
      <c r="A30" s="31"/>
      <c r="B30" s="31"/>
      <c r="C30" s="31"/>
      <c r="D30" s="4"/>
      <c r="E30" s="24"/>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6"/>
      <c r="CG30" s="4"/>
      <c r="CH30" s="37"/>
      <c r="CI30" s="37"/>
    </row>
    <row r="31" spans="1:87" ht="15" customHeight="1" x14ac:dyDescent="0.25">
      <c r="A31" s="31"/>
      <c r="B31" s="31"/>
      <c r="C31" s="31"/>
      <c r="D31" s="4"/>
      <c r="E31" s="24"/>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6"/>
      <c r="CG31" s="4"/>
      <c r="CH31" s="37"/>
      <c r="CI31" s="37"/>
    </row>
    <row r="32" spans="1:87" ht="15" customHeight="1" x14ac:dyDescent="0.25">
      <c r="A32" s="31"/>
      <c r="B32" s="31"/>
      <c r="C32" s="31"/>
      <c r="D32" s="4"/>
      <c r="E32" s="24"/>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6"/>
      <c r="CG32" s="4"/>
      <c r="CH32" s="37"/>
      <c r="CI32" s="37"/>
    </row>
    <row r="33" spans="1:87" ht="15" customHeight="1" x14ac:dyDescent="0.25">
      <c r="A33" s="31"/>
      <c r="B33" s="31"/>
      <c r="C33" s="31"/>
      <c r="D33" s="4"/>
      <c r="E33" s="24"/>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6"/>
      <c r="CG33" s="4"/>
      <c r="CH33" s="37"/>
      <c r="CI33" s="37"/>
    </row>
    <row r="34" spans="1:87" ht="15" customHeight="1" x14ac:dyDescent="0.25">
      <c r="A34" s="31"/>
      <c r="B34" s="31"/>
      <c r="C34" s="31"/>
      <c r="D34" s="4"/>
      <c r="E34" s="24"/>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6"/>
      <c r="CG34" s="4"/>
      <c r="CH34" s="37"/>
      <c r="CI34" s="37"/>
    </row>
    <row r="35" spans="1:87" ht="15" customHeight="1" x14ac:dyDescent="0.25">
      <c r="A35" s="31"/>
      <c r="B35" s="31"/>
      <c r="C35" s="31"/>
      <c r="D35" s="4"/>
      <c r="E35" s="24"/>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6"/>
      <c r="CG35" s="4"/>
      <c r="CH35" s="37"/>
      <c r="CI35" s="37"/>
    </row>
    <row r="36" spans="1:87" ht="15" customHeight="1" x14ac:dyDescent="0.25">
      <c r="A36" s="31"/>
      <c r="B36" s="31"/>
      <c r="C36" s="31"/>
      <c r="D36" s="4"/>
      <c r="E36" s="24"/>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6"/>
      <c r="CG36" s="4"/>
      <c r="CH36" s="37"/>
      <c r="CI36" s="37"/>
    </row>
    <row r="37" spans="1:87" ht="15" customHeight="1" x14ac:dyDescent="0.25">
      <c r="A37" s="31"/>
      <c r="B37" s="31"/>
      <c r="C37" s="31"/>
      <c r="D37" s="4"/>
      <c r="E37" s="24"/>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6"/>
      <c r="CG37" s="4"/>
      <c r="CH37" s="37"/>
      <c r="CI37" s="37"/>
    </row>
    <row r="38" spans="1:87" ht="15" customHeight="1" x14ac:dyDescent="0.25">
      <c r="A38" s="31"/>
      <c r="B38" s="31"/>
      <c r="C38" s="31"/>
      <c r="D38" s="4"/>
      <c r="E38" s="24"/>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6"/>
      <c r="CG38" s="4"/>
      <c r="CH38" s="37"/>
      <c r="CI38" s="37"/>
    </row>
    <row r="39" spans="1:87" ht="15" customHeight="1" x14ac:dyDescent="0.25">
      <c r="A39" s="31"/>
      <c r="B39" s="31"/>
      <c r="C39" s="31"/>
      <c r="D39" s="4"/>
      <c r="E39" s="24"/>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6"/>
      <c r="CG39" s="4"/>
      <c r="CH39" s="37"/>
      <c r="CI39" s="37"/>
    </row>
    <row r="40" spans="1:87" ht="15" customHeight="1" x14ac:dyDescent="0.25">
      <c r="A40" s="31"/>
      <c r="B40" s="31"/>
      <c r="C40" s="31"/>
      <c r="D40" s="4"/>
      <c r="E40" s="24"/>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6"/>
      <c r="CG40" s="4"/>
      <c r="CH40" s="37"/>
      <c r="CI40" s="37"/>
    </row>
    <row r="41" spans="1:87" ht="15" customHeight="1" x14ac:dyDescent="0.25">
      <c r="A41" s="31"/>
      <c r="B41" s="31"/>
      <c r="C41" s="31"/>
      <c r="D41" s="4"/>
      <c r="E41" s="24"/>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6"/>
      <c r="CG41" s="4"/>
      <c r="CH41" s="37"/>
      <c r="CI41" s="37"/>
    </row>
    <row r="42" spans="1:87" ht="15" customHeight="1" x14ac:dyDescent="0.25">
      <c r="A42" s="31"/>
      <c r="B42" s="31"/>
      <c r="C42" s="31"/>
      <c r="D42" s="4"/>
      <c r="E42" s="24"/>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6"/>
      <c r="CG42" s="4"/>
      <c r="CH42" s="37"/>
      <c r="CI42" s="37"/>
    </row>
    <row r="43" spans="1:87" ht="15" customHeight="1" x14ac:dyDescent="0.25">
      <c r="A43" s="31"/>
      <c r="B43" s="31"/>
      <c r="C43" s="31"/>
      <c r="D43" s="4"/>
      <c r="E43" s="24"/>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6"/>
      <c r="CG43" s="4"/>
      <c r="CH43" s="37"/>
      <c r="CI43" s="37"/>
    </row>
    <row r="44" spans="1:87" ht="15" customHeight="1" x14ac:dyDescent="0.25">
      <c r="A44" s="31"/>
      <c r="B44" s="31"/>
      <c r="C44" s="31"/>
      <c r="D44" s="4"/>
      <c r="E44" s="24"/>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6"/>
      <c r="CG44" s="4"/>
      <c r="CH44" s="37"/>
      <c r="CI44" s="37"/>
    </row>
    <row r="45" spans="1:87" ht="15" customHeight="1" x14ac:dyDescent="0.25">
      <c r="A45" s="31"/>
      <c r="B45" s="31"/>
      <c r="C45" s="31"/>
      <c r="D45" s="4"/>
      <c r="E45" s="24"/>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6"/>
      <c r="CG45" s="4"/>
      <c r="CH45" s="37"/>
      <c r="CI45" s="37"/>
    </row>
    <row r="46" spans="1:87" ht="15" customHeight="1" x14ac:dyDescent="0.25">
      <c r="A46" s="31"/>
      <c r="B46" s="31"/>
      <c r="C46" s="31"/>
      <c r="D46" s="4"/>
      <c r="E46" s="24"/>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6"/>
      <c r="CG46" s="4"/>
      <c r="CH46" s="37"/>
      <c r="CI46" s="37"/>
    </row>
    <row r="47" spans="1:87" ht="15" customHeight="1" x14ac:dyDescent="0.25">
      <c r="A47" s="31"/>
      <c r="B47" s="31"/>
      <c r="C47" s="31"/>
      <c r="D47" s="4"/>
      <c r="E47" s="24"/>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6"/>
      <c r="CG47" s="4"/>
      <c r="CH47" s="37"/>
      <c r="CI47" s="37"/>
    </row>
    <row r="48" spans="1:87" ht="15" customHeight="1" x14ac:dyDescent="0.25">
      <c r="A48" s="31"/>
      <c r="B48" s="31"/>
      <c r="C48" s="31"/>
      <c r="D48" s="4"/>
      <c r="E48" s="24"/>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6"/>
      <c r="CG48" s="4"/>
      <c r="CH48" s="37"/>
      <c r="CI48" s="37"/>
    </row>
    <row r="49" spans="1:87" ht="15" customHeight="1" x14ac:dyDescent="0.25">
      <c r="A49" s="31"/>
      <c r="B49" s="31"/>
      <c r="C49" s="31"/>
      <c r="D49" s="4"/>
      <c r="E49" s="24"/>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6"/>
      <c r="CG49" s="4"/>
      <c r="CH49" s="37"/>
      <c r="CI49" s="37"/>
    </row>
    <row r="50" spans="1:87" ht="15" customHeight="1" x14ac:dyDescent="0.25">
      <c r="A50" s="31"/>
      <c r="B50" s="31"/>
      <c r="C50" s="31"/>
      <c r="D50" s="4"/>
      <c r="E50" s="24"/>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6"/>
      <c r="CG50" s="4"/>
      <c r="CH50" s="37"/>
      <c r="CI50" s="37"/>
    </row>
    <row r="51" spans="1:87" ht="15" customHeight="1" x14ac:dyDescent="0.25">
      <c r="A51" s="31"/>
      <c r="B51" s="31"/>
      <c r="C51" s="31"/>
      <c r="D51" s="4"/>
      <c r="E51" s="24"/>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6"/>
      <c r="CG51" s="4"/>
      <c r="CH51" s="37"/>
      <c r="CI51" s="37"/>
    </row>
    <row r="52" spans="1:87" ht="15" customHeight="1" x14ac:dyDescent="0.25">
      <c r="A52" s="31"/>
      <c r="B52" s="31"/>
      <c r="C52" s="31"/>
      <c r="D52" s="4"/>
      <c r="E52" s="24"/>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6"/>
      <c r="CG52" s="4"/>
      <c r="CH52" s="37"/>
      <c r="CI52" s="37"/>
    </row>
    <row r="53" spans="1:87" ht="15" customHeight="1" x14ac:dyDescent="0.25">
      <c r="A53" s="31"/>
      <c r="B53" s="31"/>
      <c r="C53" s="31"/>
      <c r="D53" s="4"/>
      <c r="E53" s="24"/>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6"/>
      <c r="CG53" s="4"/>
      <c r="CH53" s="37"/>
      <c r="CI53" s="37"/>
    </row>
    <row r="54" spans="1:87" ht="15" customHeight="1" x14ac:dyDescent="0.25">
      <c r="A54" s="31"/>
      <c r="B54" s="31"/>
      <c r="C54" s="31"/>
      <c r="D54" s="4"/>
      <c r="E54" s="24"/>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6"/>
      <c r="CG54" s="4"/>
      <c r="CH54" s="37"/>
      <c r="CI54" s="37"/>
    </row>
    <row r="55" spans="1:87" ht="15" customHeight="1" x14ac:dyDescent="0.25">
      <c r="A55" s="31"/>
      <c r="B55" s="31"/>
      <c r="C55" s="31"/>
      <c r="D55" s="4"/>
      <c r="E55" s="24"/>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6"/>
      <c r="CG55" s="4"/>
      <c r="CH55" s="37"/>
      <c r="CI55" s="37"/>
    </row>
    <row r="56" spans="1:87" ht="15" customHeight="1" x14ac:dyDescent="0.25">
      <c r="A56" s="31"/>
      <c r="B56" s="31"/>
      <c r="C56" s="31"/>
      <c r="D56" s="4"/>
      <c r="E56" s="24"/>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6"/>
      <c r="CG56" s="4"/>
      <c r="CH56" s="37"/>
      <c r="CI56" s="37"/>
    </row>
    <row r="57" spans="1:87" ht="15" customHeight="1" x14ac:dyDescent="0.25">
      <c r="A57" s="31"/>
      <c r="B57" s="31"/>
      <c r="C57" s="31"/>
      <c r="D57" s="4"/>
      <c r="E57" s="24"/>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6"/>
      <c r="CG57" s="4"/>
      <c r="CH57" s="37"/>
      <c r="CI57" s="37"/>
    </row>
    <row r="58" spans="1:87" ht="15" customHeight="1" x14ac:dyDescent="0.25">
      <c r="A58" s="31"/>
      <c r="B58" s="31"/>
      <c r="C58" s="31"/>
      <c r="D58" s="4"/>
      <c r="E58" s="24"/>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6"/>
      <c r="CG58" s="4"/>
      <c r="CH58" s="37"/>
      <c r="CI58" s="37"/>
    </row>
    <row r="59" spans="1:87" ht="15" customHeight="1" x14ac:dyDescent="0.25">
      <c r="A59" s="31"/>
      <c r="B59" s="31"/>
      <c r="C59" s="31"/>
      <c r="D59" s="4"/>
      <c r="E59" s="24"/>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6"/>
      <c r="CG59" s="4"/>
      <c r="CH59" s="37"/>
      <c r="CI59" s="37"/>
    </row>
    <row r="60" spans="1:87" ht="15" customHeight="1" x14ac:dyDescent="0.25">
      <c r="A60" s="31"/>
      <c r="B60" s="31"/>
      <c r="C60" s="31"/>
      <c r="D60" s="4"/>
      <c r="E60" s="24"/>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6"/>
      <c r="CG60" s="4"/>
      <c r="CH60" s="37"/>
      <c r="CI60" s="37"/>
    </row>
    <row r="61" spans="1:87" ht="15" customHeight="1" x14ac:dyDescent="0.25">
      <c r="A61" s="31"/>
      <c r="B61" s="31"/>
      <c r="C61" s="31"/>
      <c r="D61" s="4"/>
      <c r="E61" s="24"/>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6"/>
      <c r="CG61" s="4"/>
      <c r="CH61" s="37"/>
      <c r="CI61" s="37"/>
    </row>
    <row r="62" spans="1:87" ht="15" customHeight="1" x14ac:dyDescent="0.25">
      <c r="A62" s="31"/>
      <c r="B62" s="31"/>
      <c r="C62" s="31"/>
      <c r="D62" s="4"/>
      <c r="E62" s="24"/>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6"/>
      <c r="CG62" s="4"/>
      <c r="CH62" s="37"/>
      <c r="CI62" s="37"/>
    </row>
    <row r="63" spans="1:87" ht="15" customHeight="1" x14ac:dyDescent="0.25">
      <c r="A63" s="31"/>
      <c r="B63" s="31"/>
      <c r="C63" s="31"/>
      <c r="D63" s="4"/>
      <c r="E63" s="24"/>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6"/>
      <c r="CG63" s="4"/>
      <c r="CH63" s="37"/>
      <c r="CI63" s="37"/>
    </row>
    <row r="64" spans="1:87" ht="15" customHeight="1" x14ac:dyDescent="0.25">
      <c r="A64" s="31"/>
      <c r="B64" s="31"/>
      <c r="C64" s="31"/>
      <c r="D64" s="4"/>
      <c r="E64" s="24"/>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6"/>
      <c r="CG64" s="4"/>
      <c r="CH64" s="37"/>
      <c r="CI64" s="37"/>
    </row>
    <row r="65" spans="1:87" ht="15" customHeight="1" x14ac:dyDescent="0.25">
      <c r="A65" s="31"/>
      <c r="B65" s="31"/>
      <c r="C65" s="31"/>
      <c r="D65" s="4"/>
      <c r="E65" s="24"/>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6"/>
      <c r="CG65" s="4"/>
      <c r="CH65" s="37"/>
      <c r="CI65" s="37"/>
    </row>
    <row r="66" spans="1:87" ht="15" customHeight="1" x14ac:dyDescent="0.25">
      <c r="A66" s="31"/>
      <c r="B66" s="31"/>
      <c r="C66" s="31"/>
      <c r="D66" s="4"/>
      <c r="E66" s="24"/>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6"/>
      <c r="CG66" s="4"/>
      <c r="CH66" s="37"/>
      <c r="CI66" s="37"/>
    </row>
    <row r="67" spans="1:87" ht="15" customHeight="1" x14ac:dyDescent="0.25">
      <c r="A67" s="31"/>
      <c r="B67" s="31"/>
      <c r="C67" s="31"/>
      <c r="D67" s="4"/>
      <c r="E67" s="24"/>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6"/>
      <c r="CG67" s="4"/>
      <c r="CH67" s="37"/>
      <c r="CI67" s="37"/>
    </row>
    <row r="68" spans="1:87" ht="15" customHeight="1" x14ac:dyDescent="0.25">
      <c r="A68" s="31"/>
      <c r="B68" s="31"/>
      <c r="C68" s="31"/>
      <c r="D68" s="4"/>
      <c r="E68" s="24"/>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6"/>
      <c r="CG68" s="4"/>
      <c r="CH68" s="37"/>
      <c r="CI68" s="37"/>
    </row>
    <row r="69" spans="1:87" ht="15" customHeight="1" x14ac:dyDescent="0.25">
      <c r="A69" s="31"/>
      <c r="B69" s="31"/>
      <c r="C69" s="31"/>
      <c r="D69" s="4"/>
      <c r="E69" s="24"/>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6"/>
      <c r="CG69" s="4"/>
      <c r="CH69" s="37"/>
      <c r="CI69" s="37"/>
    </row>
    <row r="70" spans="1:87" ht="15" customHeight="1" x14ac:dyDescent="0.25">
      <c r="A70" s="31"/>
      <c r="B70" s="31"/>
      <c r="C70" s="31"/>
      <c r="D70" s="4"/>
      <c r="E70" s="24"/>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6"/>
      <c r="CG70" s="4"/>
      <c r="CH70" s="37"/>
      <c r="CI70" s="37"/>
    </row>
    <row r="71" spans="1:87" ht="15" customHeight="1" x14ac:dyDescent="0.25">
      <c r="A71" s="31"/>
      <c r="B71" s="31"/>
      <c r="C71" s="31"/>
      <c r="D71" s="4"/>
      <c r="E71" s="24"/>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6"/>
      <c r="CG71" s="4"/>
      <c r="CH71" s="37"/>
      <c r="CI71" s="37"/>
    </row>
    <row r="72" spans="1:87" ht="15" customHeight="1" x14ac:dyDescent="0.25">
      <c r="A72" s="31"/>
      <c r="B72" s="31"/>
      <c r="C72" s="31"/>
      <c r="D72" s="4"/>
      <c r="E72" s="24"/>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6"/>
      <c r="CG72" s="4"/>
      <c r="CH72" s="37"/>
      <c r="CI72" s="37"/>
    </row>
    <row r="73" spans="1:87" ht="15" customHeight="1" x14ac:dyDescent="0.25">
      <c r="A73" s="31"/>
      <c r="B73" s="31"/>
      <c r="C73" s="31"/>
      <c r="D73" s="4"/>
      <c r="E73" s="24"/>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6"/>
      <c r="CG73" s="4"/>
      <c r="CH73" s="37"/>
      <c r="CI73" s="37"/>
    </row>
    <row r="74" spans="1:87" ht="15" customHeight="1" x14ac:dyDescent="0.25">
      <c r="A74" s="31"/>
      <c r="B74" s="31"/>
      <c r="C74" s="31"/>
      <c r="D74" s="4"/>
      <c r="E74" s="24"/>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6"/>
      <c r="CG74" s="4"/>
      <c r="CH74" s="37"/>
      <c r="CI74" s="37"/>
    </row>
    <row r="75" spans="1:87" ht="15" customHeight="1" x14ac:dyDescent="0.25">
      <c r="A75" s="31"/>
      <c r="B75" s="31"/>
      <c r="C75" s="31"/>
      <c r="D75" s="4"/>
      <c r="E75" s="24"/>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6"/>
      <c r="CG75" s="4"/>
      <c r="CH75" s="37"/>
      <c r="CI75" s="37"/>
    </row>
    <row r="76" spans="1:87" ht="15" customHeight="1" x14ac:dyDescent="0.25">
      <c r="A76" s="31"/>
      <c r="B76" s="31"/>
      <c r="C76" s="31"/>
      <c r="D76" s="4"/>
      <c r="E76" s="24"/>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6"/>
      <c r="CG76" s="4"/>
      <c r="CH76" s="37"/>
      <c r="CI76" s="37"/>
    </row>
    <row r="77" spans="1:87" ht="15" customHeight="1" x14ac:dyDescent="0.25">
      <c r="A77" s="31"/>
      <c r="B77" s="31"/>
      <c r="C77" s="31"/>
      <c r="D77" s="4"/>
      <c r="E77" s="24"/>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6"/>
      <c r="CG77" s="4"/>
      <c r="CH77" s="37"/>
      <c r="CI77" s="37"/>
    </row>
    <row r="78" spans="1:87" ht="15" customHeight="1" x14ac:dyDescent="0.25">
      <c r="A78" s="31"/>
      <c r="B78" s="31"/>
      <c r="C78" s="31"/>
      <c r="D78" s="4"/>
      <c r="E78" s="24"/>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6"/>
      <c r="CG78" s="4"/>
      <c r="CH78" s="37"/>
      <c r="CI78" s="37"/>
    </row>
    <row r="79" spans="1:87" ht="15" customHeight="1" x14ac:dyDescent="0.25">
      <c r="A79" s="31"/>
      <c r="B79" s="31"/>
      <c r="C79" s="31"/>
      <c r="D79" s="4"/>
      <c r="E79" s="24"/>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6"/>
      <c r="CG79" s="4"/>
      <c r="CH79" s="37"/>
      <c r="CI79" s="37"/>
    </row>
    <row r="80" spans="1:87" ht="15" customHeight="1" x14ac:dyDescent="0.25">
      <c r="A80" s="31"/>
      <c r="B80" s="31"/>
      <c r="C80" s="31"/>
      <c r="D80" s="4"/>
      <c r="E80" s="24"/>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6"/>
      <c r="CG80" s="4"/>
      <c r="CH80" s="37"/>
      <c r="CI80" s="37"/>
    </row>
    <row r="81" spans="1:87" ht="15" customHeight="1" x14ac:dyDescent="0.25">
      <c r="A81" s="31"/>
      <c r="B81" s="31"/>
      <c r="C81" s="31"/>
      <c r="D81" s="4"/>
      <c r="E81" s="24"/>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6"/>
      <c r="CG81" s="4"/>
      <c r="CH81" s="37"/>
      <c r="CI81" s="37"/>
    </row>
    <row r="82" spans="1:87" ht="15" customHeight="1" x14ac:dyDescent="0.25">
      <c r="A82" s="31"/>
      <c r="B82" s="31"/>
      <c r="C82" s="31"/>
      <c r="D82" s="4"/>
      <c r="E82" s="24"/>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6"/>
      <c r="CG82" s="4"/>
      <c r="CH82" s="37"/>
      <c r="CI82" s="37"/>
    </row>
    <row r="83" spans="1:87" ht="15" customHeight="1" x14ac:dyDescent="0.25">
      <c r="A83" s="31"/>
      <c r="B83" s="31"/>
      <c r="C83" s="31"/>
      <c r="D83" s="4"/>
      <c r="E83" s="24"/>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6"/>
      <c r="CG83" s="4"/>
      <c r="CH83" s="37"/>
      <c r="CI83" s="37"/>
    </row>
    <row r="84" spans="1:87" ht="15" customHeight="1" x14ac:dyDescent="0.25">
      <c r="A84" s="31"/>
      <c r="B84" s="31"/>
      <c r="C84" s="31"/>
      <c r="D84" s="4"/>
      <c r="E84" s="24"/>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6"/>
      <c r="CG84" s="4"/>
      <c r="CH84" s="37"/>
      <c r="CI84" s="37"/>
    </row>
    <row r="85" spans="1:87" ht="15" customHeight="1" x14ac:dyDescent="0.25">
      <c r="A85" s="31"/>
      <c r="B85" s="31"/>
      <c r="C85" s="31"/>
      <c r="D85" s="4"/>
      <c r="E85" s="24"/>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6"/>
      <c r="CG85" s="4"/>
      <c r="CH85" s="37"/>
      <c r="CI85" s="37"/>
    </row>
    <row r="86" spans="1:87" ht="15" customHeight="1" x14ac:dyDescent="0.25">
      <c r="A86" s="31"/>
      <c r="B86" s="31"/>
      <c r="C86" s="31"/>
      <c r="D86" s="4"/>
      <c r="E86" s="24"/>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6"/>
      <c r="CG86" s="4"/>
      <c r="CH86" s="37"/>
      <c r="CI86" s="37"/>
    </row>
    <row r="87" spans="1:87" ht="15" customHeight="1" x14ac:dyDescent="0.25">
      <c r="A87" s="31"/>
      <c r="B87" s="31"/>
      <c r="C87" s="31"/>
      <c r="D87" s="4"/>
      <c r="E87" s="24"/>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6"/>
      <c r="CG87" s="4"/>
      <c r="CH87" s="37"/>
      <c r="CI87" s="37"/>
    </row>
    <row r="88" spans="1:87" ht="15" customHeight="1" x14ac:dyDescent="0.25">
      <c r="A88" s="31"/>
      <c r="B88" s="31"/>
      <c r="C88" s="31"/>
      <c r="D88" s="4"/>
      <c r="E88" s="24"/>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6"/>
      <c r="CG88" s="4"/>
      <c r="CH88" s="37"/>
      <c r="CI88" s="37"/>
    </row>
    <row r="89" spans="1:87" ht="15" customHeight="1" x14ac:dyDescent="0.25">
      <c r="A89" s="31"/>
      <c r="B89" s="31"/>
      <c r="C89" s="31"/>
      <c r="D89" s="4"/>
      <c r="E89" s="24"/>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6"/>
      <c r="CG89" s="4"/>
      <c r="CH89" s="37"/>
      <c r="CI89" s="37"/>
    </row>
    <row r="90" spans="1:87" ht="15" customHeight="1" x14ac:dyDescent="0.25">
      <c r="A90" s="31"/>
      <c r="B90" s="31"/>
      <c r="C90" s="31"/>
      <c r="D90" s="4"/>
      <c r="E90" s="24"/>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6"/>
      <c r="CG90" s="4"/>
      <c r="CH90" s="37"/>
      <c r="CI90" s="37"/>
    </row>
    <row r="91" spans="1:87" ht="15" customHeight="1" x14ac:dyDescent="0.25">
      <c r="A91" s="31"/>
      <c r="B91" s="31"/>
      <c r="C91" s="31"/>
      <c r="D91" s="4"/>
      <c r="E91" s="24"/>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6"/>
      <c r="CG91" s="4"/>
      <c r="CH91" s="37"/>
      <c r="CI91" s="37"/>
    </row>
    <row r="92" spans="1:87" ht="15" customHeight="1" x14ac:dyDescent="0.25">
      <c r="A92" s="31"/>
      <c r="B92" s="31"/>
      <c r="C92" s="31"/>
      <c r="D92" s="4"/>
      <c r="E92" s="24"/>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6"/>
      <c r="CG92" s="4"/>
      <c r="CH92" s="37"/>
      <c r="CI92" s="37"/>
    </row>
    <row r="93" spans="1:87" ht="15" customHeight="1" x14ac:dyDescent="0.25">
      <c r="A93" s="31"/>
      <c r="B93" s="31"/>
      <c r="C93" s="31"/>
      <c r="D93" s="4"/>
      <c r="E93" s="24"/>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6"/>
      <c r="CG93" s="4"/>
      <c r="CH93" s="37"/>
      <c r="CI93" s="37"/>
    </row>
    <row r="94" spans="1:87" ht="15" customHeight="1" x14ac:dyDescent="0.25">
      <c r="A94" s="31"/>
      <c r="B94" s="31"/>
      <c r="C94" s="31"/>
      <c r="D94" s="4"/>
      <c r="E94" s="24"/>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6"/>
      <c r="CG94" s="4"/>
      <c r="CH94" s="37"/>
      <c r="CI94" s="37"/>
    </row>
    <row r="95" spans="1:87" ht="15" customHeight="1" x14ac:dyDescent="0.25">
      <c r="A95" s="31"/>
      <c r="B95" s="31"/>
      <c r="C95" s="31"/>
      <c r="D95" s="4"/>
      <c r="E95" s="24"/>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6"/>
      <c r="CG95" s="4"/>
      <c r="CH95" s="37"/>
      <c r="CI95" s="37"/>
    </row>
    <row r="96" spans="1:87" ht="15" customHeight="1" x14ac:dyDescent="0.25">
      <c r="A96" s="31"/>
      <c r="B96" s="31"/>
      <c r="C96" s="31"/>
      <c r="D96" s="4"/>
      <c r="E96" s="24"/>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6"/>
      <c r="CG96" s="4"/>
      <c r="CH96" s="37"/>
      <c r="CI96" s="37"/>
    </row>
    <row r="97" spans="1:87" ht="15" customHeight="1" x14ac:dyDescent="0.25">
      <c r="A97" s="31"/>
      <c r="B97" s="31"/>
      <c r="C97" s="31"/>
      <c r="D97" s="4"/>
      <c r="E97" s="24"/>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6"/>
      <c r="CG97" s="4"/>
      <c r="CH97" s="37"/>
      <c r="CI97" s="37"/>
    </row>
    <row r="98" spans="1:87" ht="15" customHeight="1" x14ac:dyDescent="0.25">
      <c r="A98" s="31"/>
      <c r="B98" s="31"/>
      <c r="C98" s="31"/>
      <c r="D98" s="4"/>
      <c r="E98" s="24"/>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6"/>
      <c r="CG98" s="4"/>
      <c r="CH98" s="37"/>
      <c r="CI98" s="37"/>
    </row>
    <row r="99" spans="1:87" ht="15" customHeight="1" x14ac:dyDescent="0.25">
      <c r="A99" s="31"/>
      <c r="B99" s="31"/>
      <c r="C99" s="31"/>
      <c r="D99" s="4"/>
      <c r="E99" s="24"/>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6"/>
      <c r="CG99" s="4"/>
      <c r="CH99" s="37"/>
      <c r="CI99" s="37"/>
    </row>
    <row r="100" spans="1:87" ht="15" customHeight="1" x14ac:dyDescent="0.25">
      <c r="A100" s="31"/>
      <c r="B100" s="31"/>
      <c r="C100" s="31"/>
      <c r="D100" s="4"/>
      <c r="E100" s="24"/>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6"/>
      <c r="CG100" s="4"/>
      <c r="CH100" s="37"/>
      <c r="CI100" s="37"/>
    </row>
    <row r="101" spans="1:87" ht="15" customHeight="1" x14ac:dyDescent="0.25">
      <c r="A101" s="31"/>
      <c r="B101" s="31"/>
      <c r="C101" s="31"/>
      <c r="D101" s="4"/>
      <c r="E101" s="24"/>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6"/>
      <c r="CG101" s="4"/>
      <c r="CH101" s="37"/>
      <c r="CI101" s="37"/>
    </row>
    <row r="102" spans="1:87" ht="15" customHeight="1" x14ac:dyDescent="0.25">
      <c r="A102" s="31"/>
      <c r="B102" s="31"/>
      <c r="C102" s="31"/>
      <c r="D102" s="4"/>
      <c r="E102" s="24"/>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6"/>
      <c r="CG102" s="4"/>
      <c r="CH102" s="37"/>
      <c r="CI102" s="37"/>
    </row>
    <row r="103" spans="1:87" ht="15" customHeight="1" x14ac:dyDescent="0.25">
      <c r="A103" s="31"/>
      <c r="B103" s="31"/>
      <c r="C103" s="31"/>
      <c r="D103" s="4"/>
      <c r="E103" s="24"/>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6"/>
      <c r="CG103" s="4"/>
      <c r="CH103" s="37"/>
      <c r="CI103" s="37"/>
    </row>
    <row r="104" spans="1:87" ht="15" customHeight="1" x14ac:dyDescent="0.25">
      <c r="A104" s="31"/>
      <c r="B104" s="31"/>
      <c r="C104" s="31"/>
      <c r="D104" s="4"/>
      <c r="E104" s="24"/>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6"/>
      <c r="CG104" s="4"/>
      <c r="CH104" s="37"/>
      <c r="CI104" s="37"/>
    </row>
    <row r="105" spans="1:87" ht="15" customHeight="1" x14ac:dyDescent="0.25">
      <c r="A105" s="31"/>
      <c r="B105" s="31"/>
      <c r="C105" s="31"/>
      <c r="D105" s="4"/>
      <c r="E105" s="24"/>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6"/>
      <c r="CG105" s="4"/>
      <c r="CH105" s="37"/>
      <c r="CI105" s="37"/>
    </row>
    <row r="106" spans="1:87" ht="15" customHeight="1" x14ac:dyDescent="0.25">
      <c r="A106" s="31"/>
      <c r="B106" s="31"/>
      <c r="C106" s="31"/>
      <c r="D106" s="4"/>
      <c r="E106" s="24"/>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6"/>
      <c r="CG106" s="4"/>
      <c r="CH106" s="37"/>
      <c r="CI106" s="37"/>
    </row>
    <row r="107" spans="1:87" ht="15" customHeight="1" x14ac:dyDescent="0.25">
      <c r="A107" s="31"/>
      <c r="B107" s="31"/>
      <c r="C107" s="31"/>
      <c r="D107" s="4"/>
      <c r="E107" s="24"/>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6"/>
      <c r="CG107" s="4"/>
      <c r="CH107" s="37"/>
      <c r="CI107" s="37"/>
    </row>
    <row r="108" spans="1:87" ht="15" customHeight="1" x14ac:dyDescent="0.25">
      <c r="A108" s="31"/>
      <c r="B108" s="31"/>
      <c r="C108" s="31"/>
      <c r="D108" s="4"/>
      <c r="E108" s="24"/>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6"/>
      <c r="CG108" s="4"/>
      <c r="CH108" s="37"/>
      <c r="CI108" s="37"/>
    </row>
    <row r="109" spans="1:87" ht="15" customHeight="1" x14ac:dyDescent="0.25">
      <c r="A109" s="31"/>
      <c r="B109" s="31"/>
      <c r="C109" s="31"/>
      <c r="D109" s="4"/>
      <c r="E109" s="24"/>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6"/>
      <c r="CG109" s="4"/>
      <c r="CH109" s="37"/>
      <c r="CI109" s="37"/>
    </row>
    <row r="110" spans="1:87" ht="15" customHeight="1" x14ac:dyDescent="0.25">
      <c r="A110" s="31"/>
      <c r="B110" s="31"/>
      <c r="C110" s="31"/>
      <c r="D110" s="4"/>
      <c r="E110" s="24"/>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6"/>
      <c r="CG110" s="4"/>
      <c r="CH110" s="37"/>
      <c r="CI110" s="37"/>
    </row>
    <row r="111" spans="1:87" ht="15" customHeight="1" x14ac:dyDescent="0.25">
      <c r="A111" s="31"/>
      <c r="B111" s="31"/>
      <c r="C111" s="31"/>
      <c r="D111" s="4"/>
      <c r="E111" s="24"/>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6"/>
      <c r="CG111" s="4"/>
      <c r="CH111" s="37"/>
      <c r="CI111" s="37"/>
    </row>
    <row r="112" spans="1:87" ht="15" customHeight="1" x14ac:dyDescent="0.25">
      <c r="A112" s="31"/>
      <c r="B112" s="31"/>
      <c r="C112" s="31"/>
      <c r="D112" s="4"/>
      <c r="E112" s="24"/>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6"/>
      <c r="CG112" s="4"/>
      <c r="CH112" s="37"/>
      <c r="CI112" s="37"/>
    </row>
    <row r="113" spans="1:87" ht="15" customHeight="1" x14ac:dyDescent="0.25">
      <c r="A113" s="31"/>
      <c r="B113" s="31"/>
      <c r="C113" s="31"/>
      <c r="D113" s="4"/>
      <c r="E113" s="24"/>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6"/>
      <c r="CG113" s="4"/>
      <c r="CH113" s="37"/>
      <c r="CI113" s="37"/>
    </row>
    <row r="114" spans="1:87" ht="15" customHeight="1" x14ac:dyDescent="0.25">
      <c r="A114" s="31"/>
      <c r="B114" s="31"/>
      <c r="C114" s="31"/>
      <c r="D114" s="4"/>
      <c r="E114" s="24"/>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6"/>
      <c r="CG114" s="4"/>
      <c r="CH114" s="37"/>
      <c r="CI114" s="37"/>
    </row>
    <row r="115" spans="1:87" ht="15" customHeight="1" x14ac:dyDescent="0.25">
      <c r="A115" s="31"/>
      <c r="B115" s="31"/>
      <c r="C115" s="31"/>
      <c r="D115" s="4"/>
      <c r="E115" s="24"/>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6"/>
      <c r="CG115" s="4"/>
      <c r="CH115" s="37"/>
      <c r="CI115" s="37"/>
    </row>
    <row r="116" spans="1:87" ht="15" customHeight="1" x14ac:dyDescent="0.25">
      <c r="A116" s="31"/>
      <c r="B116" s="31"/>
      <c r="C116" s="31"/>
      <c r="D116" s="4"/>
      <c r="E116" s="24"/>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6"/>
      <c r="CG116" s="4"/>
      <c r="CH116" s="37"/>
      <c r="CI116" s="37"/>
    </row>
    <row r="117" spans="1:87" ht="15" customHeight="1" x14ac:dyDescent="0.25">
      <c r="A117" s="31"/>
      <c r="B117" s="31"/>
      <c r="C117" s="31"/>
      <c r="D117" s="4"/>
      <c r="E117" s="24"/>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6"/>
      <c r="CG117" s="4"/>
      <c r="CH117" s="37"/>
      <c r="CI117" s="37"/>
    </row>
    <row r="118" spans="1:87" ht="15" customHeight="1" x14ac:dyDescent="0.25">
      <c r="A118" s="31"/>
      <c r="B118" s="31"/>
      <c r="C118" s="31"/>
      <c r="D118" s="4"/>
      <c r="E118" s="24"/>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6"/>
      <c r="CG118" s="4"/>
      <c r="CH118" s="37"/>
      <c r="CI118" s="37"/>
    </row>
    <row r="119" spans="1:87" ht="15" customHeight="1" x14ac:dyDescent="0.25">
      <c r="A119" s="31"/>
      <c r="B119" s="31"/>
      <c r="C119" s="31"/>
      <c r="D119" s="4"/>
      <c r="E119" s="24"/>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6"/>
      <c r="CG119" s="4"/>
      <c r="CH119" s="37"/>
      <c r="CI119" s="37"/>
    </row>
    <row r="120" spans="1:87" ht="15" customHeight="1" x14ac:dyDescent="0.25">
      <c r="A120" s="31"/>
      <c r="B120" s="31"/>
      <c r="C120" s="31"/>
      <c r="D120" s="4"/>
      <c r="E120" s="24"/>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6"/>
      <c r="CG120" s="4"/>
      <c r="CH120" s="37"/>
      <c r="CI120" s="37"/>
    </row>
    <row r="121" spans="1:87" ht="15" customHeight="1" x14ac:dyDescent="0.25">
      <c r="A121" s="31"/>
      <c r="B121" s="31"/>
      <c r="C121" s="31"/>
      <c r="D121" s="4"/>
      <c r="E121" s="24"/>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6"/>
      <c r="CG121" s="4"/>
      <c r="CH121" s="37"/>
      <c r="CI121" s="37"/>
    </row>
    <row r="122" spans="1:87" ht="15" customHeight="1" x14ac:dyDescent="0.25">
      <c r="A122" s="31"/>
      <c r="B122" s="31"/>
      <c r="C122" s="31"/>
      <c r="D122" s="4"/>
      <c r="E122" s="24"/>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6"/>
      <c r="CG122" s="4"/>
      <c r="CH122" s="37"/>
      <c r="CI122" s="37"/>
    </row>
    <row r="123" spans="1:87" ht="15" customHeight="1" x14ac:dyDescent="0.25">
      <c r="A123" s="31"/>
      <c r="B123" s="31"/>
      <c r="C123" s="31"/>
      <c r="D123" s="4"/>
      <c r="E123" s="24"/>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6"/>
      <c r="CG123" s="4"/>
      <c r="CH123" s="37"/>
      <c r="CI123" s="37"/>
    </row>
    <row r="124" spans="1:87" ht="15" customHeight="1" x14ac:dyDescent="0.25">
      <c r="A124" s="31"/>
      <c r="B124" s="31"/>
      <c r="C124" s="31"/>
      <c r="D124" s="4"/>
      <c r="E124" s="24"/>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6"/>
      <c r="CG124" s="4"/>
      <c r="CH124" s="37"/>
      <c r="CI124" s="37"/>
    </row>
    <row r="125" spans="1:87" ht="15" customHeight="1" x14ac:dyDescent="0.25">
      <c r="A125" s="31"/>
      <c r="B125" s="31"/>
      <c r="C125" s="31"/>
      <c r="D125" s="4"/>
      <c r="E125" s="24"/>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6"/>
      <c r="CG125" s="4"/>
      <c r="CH125" s="37"/>
      <c r="CI125" s="37"/>
    </row>
    <row r="126" spans="1:87" ht="15" customHeight="1" x14ac:dyDescent="0.25">
      <c r="A126" s="31"/>
      <c r="B126" s="31"/>
      <c r="C126" s="31"/>
      <c r="D126" s="4"/>
      <c r="E126" s="24"/>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6"/>
      <c r="CG126" s="4"/>
      <c r="CH126" s="37"/>
      <c r="CI126" s="37"/>
    </row>
    <row r="127" spans="1:87" ht="15" customHeight="1" x14ac:dyDescent="0.25">
      <c r="A127" s="31"/>
      <c r="B127" s="31"/>
      <c r="C127" s="31"/>
      <c r="D127" s="4"/>
      <c r="E127" s="24"/>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6"/>
      <c r="CG127" s="4"/>
      <c r="CH127" s="37"/>
      <c r="CI127" s="37"/>
    </row>
    <row r="128" spans="1:87" ht="15" customHeight="1" x14ac:dyDescent="0.25">
      <c r="A128" s="31"/>
      <c r="B128" s="31"/>
      <c r="C128" s="31"/>
      <c r="D128" s="4"/>
      <c r="E128" s="24"/>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c r="CF128" s="26"/>
      <c r="CG128" s="4"/>
      <c r="CH128" s="37"/>
      <c r="CI128" s="37"/>
    </row>
    <row r="129" spans="1:87" ht="15" customHeight="1" x14ac:dyDescent="0.25">
      <c r="A129" s="31"/>
      <c r="B129" s="31"/>
      <c r="C129" s="31"/>
      <c r="D129" s="4"/>
      <c r="E129" s="24"/>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c r="CF129" s="26"/>
      <c r="CG129" s="4"/>
      <c r="CH129" s="37"/>
      <c r="CI129" s="37"/>
    </row>
    <row r="130" spans="1:87" ht="15" customHeight="1" x14ac:dyDescent="0.25">
      <c r="A130" s="31"/>
      <c r="B130" s="31"/>
      <c r="C130" s="31"/>
      <c r="D130" s="4"/>
      <c r="E130" s="24"/>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6"/>
      <c r="CG130" s="4"/>
      <c r="CH130" s="37"/>
      <c r="CI130" s="37"/>
    </row>
    <row r="131" spans="1:87" ht="15" customHeight="1" x14ac:dyDescent="0.25">
      <c r="A131" s="31"/>
      <c r="B131" s="31"/>
      <c r="C131" s="31"/>
      <c r="D131" s="4"/>
      <c r="E131" s="24"/>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c r="CF131" s="26"/>
      <c r="CG131" s="4"/>
      <c r="CH131" s="37"/>
      <c r="CI131" s="37"/>
    </row>
    <row r="132" spans="1:87" ht="15" customHeight="1" x14ac:dyDescent="0.25">
      <c r="A132" s="31"/>
      <c r="B132" s="31"/>
      <c r="C132" s="31"/>
      <c r="D132" s="4"/>
      <c r="E132" s="24"/>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c r="CF132" s="26"/>
      <c r="CG132" s="4"/>
      <c r="CH132" s="37"/>
      <c r="CI132" s="37"/>
    </row>
    <row r="133" spans="1:87" ht="15" customHeight="1" x14ac:dyDescent="0.25">
      <c r="A133" s="31"/>
      <c r="B133" s="31"/>
      <c r="C133" s="31"/>
      <c r="D133" s="4"/>
      <c r="E133" s="24"/>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6"/>
      <c r="CG133" s="4"/>
      <c r="CH133" s="37"/>
      <c r="CI133" s="37"/>
    </row>
    <row r="134" spans="1:87" ht="15" customHeight="1" x14ac:dyDescent="0.25">
      <c r="A134" s="31"/>
      <c r="B134" s="31"/>
      <c r="C134" s="31"/>
      <c r="D134" s="4"/>
      <c r="E134" s="24"/>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6"/>
      <c r="CG134" s="4"/>
      <c r="CH134" s="37"/>
      <c r="CI134" s="37"/>
    </row>
    <row r="135" spans="1:87" ht="15" customHeight="1" x14ac:dyDescent="0.25">
      <c r="A135" s="31"/>
      <c r="B135" s="31"/>
      <c r="C135" s="31"/>
      <c r="D135" s="4"/>
      <c r="E135" s="24"/>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c r="CF135" s="26"/>
      <c r="CG135" s="4"/>
      <c r="CH135" s="37"/>
      <c r="CI135" s="37"/>
    </row>
    <row r="136" spans="1:87" ht="15" customHeight="1" x14ac:dyDescent="0.25">
      <c r="A136" s="31"/>
      <c r="B136" s="31"/>
      <c r="C136" s="31"/>
      <c r="D136" s="4"/>
      <c r="E136" s="24"/>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c r="CF136" s="26"/>
      <c r="CG136" s="4"/>
      <c r="CH136" s="37"/>
      <c r="CI136" s="37"/>
    </row>
    <row r="137" spans="1:87" ht="15" customHeight="1" x14ac:dyDescent="0.25">
      <c r="A137" s="31"/>
      <c r="B137" s="31"/>
      <c r="C137" s="31"/>
      <c r="D137" s="4"/>
      <c r="E137" s="24"/>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c r="CF137" s="26"/>
      <c r="CG137" s="4"/>
      <c r="CH137" s="37"/>
      <c r="CI137" s="37"/>
    </row>
    <row r="138" spans="1:87" ht="15" customHeight="1" x14ac:dyDescent="0.25">
      <c r="A138" s="31"/>
      <c r="B138" s="31"/>
      <c r="C138" s="31"/>
      <c r="D138" s="4"/>
      <c r="E138" s="24"/>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6"/>
      <c r="CG138" s="4"/>
      <c r="CH138" s="37"/>
      <c r="CI138" s="37"/>
    </row>
    <row r="139" spans="1:87" ht="15" customHeight="1" x14ac:dyDescent="0.25">
      <c r="A139" s="31"/>
      <c r="B139" s="31"/>
      <c r="C139" s="31"/>
      <c r="D139" s="4"/>
      <c r="E139" s="24"/>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6"/>
      <c r="CG139" s="4"/>
      <c r="CH139" s="37"/>
      <c r="CI139" s="37"/>
    </row>
    <row r="140" spans="1:87" ht="15" customHeight="1" x14ac:dyDescent="0.25">
      <c r="A140" s="31"/>
      <c r="B140" s="31"/>
      <c r="C140" s="31"/>
      <c r="D140" s="4"/>
      <c r="E140" s="24"/>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6"/>
      <c r="CG140" s="4"/>
      <c r="CH140" s="37"/>
      <c r="CI140" s="37"/>
    </row>
    <row r="141" spans="1:87" ht="15" customHeight="1" x14ac:dyDescent="0.25">
      <c r="A141" s="31"/>
      <c r="B141" s="31"/>
      <c r="C141" s="31"/>
      <c r="D141" s="4"/>
      <c r="E141" s="24"/>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6"/>
      <c r="CG141" s="4"/>
      <c r="CH141" s="37"/>
      <c r="CI141" s="37"/>
    </row>
    <row r="142" spans="1:87" ht="15" customHeight="1" x14ac:dyDescent="0.25">
      <c r="A142" s="31"/>
      <c r="B142" s="31"/>
      <c r="C142" s="31"/>
      <c r="D142" s="4"/>
      <c r="E142" s="24"/>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6"/>
      <c r="CG142" s="4"/>
      <c r="CH142" s="37"/>
      <c r="CI142" s="37"/>
    </row>
    <row r="143" spans="1:87" ht="15" customHeight="1" x14ac:dyDescent="0.25">
      <c r="A143" s="31"/>
      <c r="B143" s="31"/>
      <c r="C143" s="31"/>
      <c r="D143" s="4"/>
      <c r="E143" s="24"/>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6"/>
      <c r="CG143" s="4"/>
      <c r="CH143" s="37"/>
      <c r="CI143" s="37"/>
    </row>
    <row r="144" spans="1:87" ht="15" customHeight="1" x14ac:dyDescent="0.25">
      <c r="A144" s="31"/>
      <c r="B144" s="31"/>
      <c r="C144" s="31"/>
      <c r="D144" s="4"/>
      <c r="E144" s="24"/>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6"/>
      <c r="CG144" s="4"/>
      <c r="CH144" s="37"/>
      <c r="CI144" s="37"/>
    </row>
    <row r="145" spans="1:87" ht="15" customHeight="1" x14ac:dyDescent="0.25">
      <c r="A145" s="31"/>
      <c r="B145" s="31"/>
      <c r="C145" s="31"/>
      <c r="D145" s="4"/>
      <c r="E145" s="24"/>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c r="CF145" s="26"/>
      <c r="CG145" s="4"/>
      <c r="CH145" s="37"/>
      <c r="CI145" s="37"/>
    </row>
    <row r="146" spans="1:87" ht="15" customHeight="1" x14ac:dyDescent="0.25">
      <c r="A146" s="31"/>
      <c r="B146" s="31"/>
      <c r="C146" s="31"/>
      <c r="D146" s="4"/>
      <c r="E146" s="24"/>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c r="CF146" s="26"/>
      <c r="CG146" s="4"/>
      <c r="CH146" s="37"/>
      <c r="CI146" s="37"/>
    </row>
    <row r="147" spans="1:87" ht="15" customHeight="1" x14ac:dyDescent="0.25">
      <c r="A147" s="31"/>
      <c r="B147" s="31"/>
      <c r="C147" s="31"/>
      <c r="D147" s="4"/>
      <c r="E147" s="24"/>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6"/>
      <c r="CG147" s="4"/>
      <c r="CH147" s="37"/>
      <c r="CI147" s="37"/>
    </row>
    <row r="148" spans="1:87" ht="15" customHeight="1" x14ac:dyDescent="0.25">
      <c r="A148" s="31"/>
      <c r="B148" s="31"/>
      <c r="C148" s="31"/>
      <c r="D148" s="4"/>
      <c r="E148" s="24"/>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6"/>
      <c r="CG148" s="4"/>
      <c r="CH148" s="37"/>
      <c r="CI148" s="37"/>
    </row>
    <row r="149" spans="1:87" ht="15" customHeight="1" x14ac:dyDescent="0.25">
      <c r="A149" s="31"/>
      <c r="B149" s="31"/>
      <c r="C149" s="31"/>
      <c r="D149" s="4"/>
      <c r="E149" s="24"/>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c r="CF149" s="26"/>
      <c r="CG149" s="4"/>
      <c r="CH149" s="37"/>
      <c r="CI149" s="37"/>
    </row>
    <row r="150" spans="1:87" ht="15" customHeight="1" x14ac:dyDescent="0.25">
      <c r="A150" s="31"/>
      <c r="B150" s="31"/>
      <c r="C150" s="31"/>
      <c r="D150" s="4"/>
      <c r="E150" s="24"/>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c r="CF150" s="26"/>
      <c r="CG150" s="4"/>
      <c r="CH150" s="37"/>
      <c r="CI150" s="37"/>
    </row>
    <row r="151" spans="1:87" ht="15" customHeight="1" x14ac:dyDescent="0.25">
      <c r="A151" s="31"/>
      <c r="B151" s="31"/>
      <c r="C151" s="31"/>
      <c r="D151" s="4"/>
      <c r="E151" s="24"/>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c r="CF151" s="26"/>
      <c r="CG151" s="4"/>
      <c r="CH151" s="37"/>
      <c r="CI151" s="37"/>
    </row>
    <row r="152" spans="1:87" ht="15" customHeight="1" x14ac:dyDescent="0.25">
      <c r="A152" s="31"/>
      <c r="B152" s="31"/>
      <c r="C152" s="31"/>
      <c r="D152" s="4"/>
      <c r="E152" s="24"/>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6"/>
      <c r="CG152" s="4"/>
      <c r="CH152" s="37"/>
      <c r="CI152" s="37"/>
    </row>
    <row r="153" spans="1:87" ht="15" customHeight="1" x14ac:dyDescent="0.25">
      <c r="A153" s="31"/>
      <c r="B153" s="31"/>
      <c r="C153" s="31"/>
      <c r="D153" s="4"/>
      <c r="E153" s="24"/>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6"/>
      <c r="CG153" s="4"/>
      <c r="CH153" s="37"/>
      <c r="CI153" s="37"/>
    </row>
    <row r="154" spans="1:87" ht="15" customHeight="1" x14ac:dyDescent="0.25">
      <c r="A154" s="31"/>
      <c r="B154" s="31"/>
      <c r="C154" s="31"/>
      <c r="D154" s="4"/>
      <c r="E154" s="24"/>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c r="CF154" s="26"/>
      <c r="CG154" s="4"/>
      <c r="CH154" s="37"/>
      <c r="CI154" s="37"/>
    </row>
    <row r="155" spans="1:87" ht="15" customHeight="1" x14ac:dyDescent="0.25">
      <c r="A155" s="31"/>
      <c r="B155" s="31"/>
      <c r="C155" s="31"/>
      <c r="D155" s="4"/>
      <c r="E155" s="24"/>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c r="CF155" s="26"/>
      <c r="CG155" s="4"/>
      <c r="CH155" s="37"/>
      <c r="CI155" s="37"/>
    </row>
    <row r="156" spans="1:87" ht="15" customHeight="1" x14ac:dyDescent="0.25">
      <c r="A156" s="31"/>
      <c r="B156" s="31"/>
      <c r="C156" s="31"/>
      <c r="D156" s="4"/>
      <c r="E156" s="24"/>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6"/>
      <c r="CG156" s="4"/>
      <c r="CH156" s="37"/>
      <c r="CI156" s="37"/>
    </row>
    <row r="157" spans="1:87" ht="15" customHeight="1" x14ac:dyDescent="0.25">
      <c r="A157" s="31"/>
      <c r="B157" s="31"/>
      <c r="C157" s="31"/>
      <c r="D157" s="4"/>
      <c r="E157" s="24"/>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6"/>
      <c r="CG157" s="4"/>
      <c r="CH157" s="37"/>
      <c r="CI157" s="37"/>
    </row>
    <row r="158" spans="1:87" ht="15" customHeight="1" x14ac:dyDescent="0.25">
      <c r="A158" s="31"/>
      <c r="B158" s="31"/>
      <c r="C158" s="31"/>
      <c r="D158" s="4"/>
      <c r="E158" s="24"/>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6"/>
      <c r="CG158" s="4"/>
      <c r="CH158" s="37"/>
      <c r="CI158" s="37"/>
    </row>
    <row r="159" spans="1:87" ht="15" customHeight="1" x14ac:dyDescent="0.25">
      <c r="A159" s="31"/>
      <c r="B159" s="31"/>
      <c r="C159" s="31"/>
      <c r="D159" s="4"/>
      <c r="E159" s="24"/>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c r="CF159" s="26"/>
      <c r="CG159" s="4"/>
      <c r="CH159" s="37"/>
      <c r="CI159" s="37"/>
    </row>
    <row r="160" spans="1:87" ht="15" customHeight="1" x14ac:dyDescent="0.25">
      <c r="A160" s="31"/>
      <c r="B160" s="31"/>
      <c r="C160" s="31"/>
      <c r="D160" s="4"/>
      <c r="E160" s="24"/>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c r="CF160" s="26"/>
      <c r="CG160" s="4"/>
      <c r="CH160" s="37"/>
      <c r="CI160" s="37"/>
    </row>
    <row r="161" spans="1:87" ht="15" customHeight="1" x14ac:dyDescent="0.25">
      <c r="A161" s="31"/>
      <c r="B161" s="31"/>
      <c r="C161" s="31"/>
      <c r="D161" s="4"/>
      <c r="E161" s="24"/>
      <c r="F161" s="25"/>
      <c r="G161" s="25"/>
      <c r="H161" s="25"/>
      <c r="I161" s="25"/>
      <c r="J161" s="25"/>
      <c r="K161" s="25"/>
      <c r="L161" s="25"/>
      <c r="M161" s="25"/>
      <c r="N161" s="25" t="s">
        <v>11</v>
      </c>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t="s">
        <v>10</v>
      </c>
      <c r="BL161" s="25"/>
      <c r="BM161" s="25"/>
      <c r="BN161" s="25"/>
      <c r="BO161" s="25"/>
      <c r="BP161" s="25"/>
      <c r="BQ161" s="25"/>
      <c r="BR161" s="25"/>
      <c r="BS161" s="25"/>
      <c r="BT161" s="25"/>
      <c r="BU161" s="25"/>
      <c r="BV161" s="25"/>
      <c r="BW161" s="25"/>
      <c r="BX161" s="25"/>
      <c r="BY161" s="25"/>
      <c r="BZ161" s="25"/>
      <c r="CA161" s="25"/>
      <c r="CB161" s="25"/>
      <c r="CC161" s="25"/>
      <c r="CD161" s="25"/>
      <c r="CE161" s="25"/>
      <c r="CF161" s="26"/>
      <c r="CG161" s="4"/>
      <c r="CH161" s="37"/>
      <c r="CI161" s="37"/>
    </row>
    <row r="162" spans="1:87" ht="15" customHeight="1" x14ac:dyDescent="0.25">
      <c r="A162" s="31"/>
      <c r="B162" s="31"/>
      <c r="C162" s="31"/>
      <c r="D162" s="4"/>
      <c r="E162" s="24"/>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6"/>
      <c r="CG162" s="4"/>
      <c r="CH162" s="37"/>
      <c r="CI162" s="37"/>
    </row>
    <row r="163" spans="1:87" ht="15" customHeight="1" x14ac:dyDescent="0.25">
      <c r="A163" s="31"/>
      <c r="B163" s="31"/>
      <c r="C163" s="31"/>
      <c r="D163" s="4"/>
      <c r="E163" s="24"/>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6"/>
      <c r="CG163" s="4"/>
      <c r="CH163" s="37"/>
      <c r="CI163" s="37"/>
    </row>
    <row r="164" spans="1:87" ht="15" customHeight="1" x14ac:dyDescent="0.25">
      <c r="A164" s="31"/>
      <c r="B164" s="31"/>
      <c r="C164" s="31"/>
      <c r="D164" s="4"/>
      <c r="E164" s="24"/>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6"/>
      <c r="CG164" s="4"/>
      <c r="CH164" s="37"/>
      <c r="CI164" s="37"/>
    </row>
    <row r="165" spans="1:87" ht="15" customHeight="1" x14ac:dyDescent="0.25">
      <c r="A165" s="31"/>
      <c r="B165" s="31"/>
      <c r="C165" s="31"/>
      <c r="D165" s="4"/>
      <c r="E165" s="24"/>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6"/>
      <c r="CG165" s="4"/>
      <c r="CH165" s="37"/>
      <c r="CI165" s="37"/>
    </row>
    <row r="166" spans="1:87" ht="15" customHeight="1" x14ac:dyDescent="0.25">
      <c r="A166" s="31"/>
      <c r="B166" s="31"/>
      <c r="C166" s="31"/>
      <c r="D166" s="4"/>
      <c r="E166" s="24"/>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c r="CF166" s="26"/>
      <c r="CG166" s="4"/>
      <c r="CH166" s="37"/>
      <c r="CI166" s="37"/>
    </row>
    <row r="167" spans="1:87" ht="15" customHeight="1" x14ac:dyDescent="0.25">
      <c r="A167" s="31"/>
      <c r="B167" s="31"/>
      <c r="C167" s="31"/>
      <c r="D167" s="4"/>
      <c r="E167" s="24"/>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c r="CF167" s="26"/>
      <c r="CG167" s="4"/>
      <c r="CH167" s="37"/>
      <c r="CI167" s="37"/>
    </row>
    <row r="168" spans="1:87" ht="15" customHeight="1" x14ac:dyDescent="0.25">
      <c r="A168" s="31"/>
      <c r="B168" s="31"/>
      <c r="C168" s="31"/>
      <c r="D168" s="4"/>
      <c r="E168" s="24"/>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c r="CF168" s="26"/>
      <c r="CG168" s="4"/>
      <c r="CH168" s="37"/>
      <c r="CI168" s="37"/>
    </row>
    <row r="169" spans="1:87" ht="15" customHeight="1" x14ac:dyDescent="0.25">
      <c r="A169" s="31"/>
      <c r="B169" s="31"/>
      <c r="C169" s="31"/>
      <c r="D169" s="4"/>
      <c r="E169" s="24"/>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6"/>
      <c r="CG169" s="4"/>
      <c r="CH169" s="37"/>
      <c r="CI169" s="37"/>
    </row>
    <row r="170" spans="1:87" ht="15" customHeight="1" x14ac:dyDescent="0.25">
      <c r="A170" s="31"/>
      <c r="B170" s="31"/>
      <c r="C170" s="31"/>
      <c r="D170" s="4"/>
      <c r="E170" s="24"/>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6"/>
      <c r="CG170" s="4"/>
      <c r="CH170" s="37"/>
      <c r="CI170" s="37"/>
    </row>
    <row r="171" spans="1:87" ht="15" customHeight="1" x14ac:dyDescent="0.25">
      <c r="A171" s="31"/>
      <c r="B171" s="31"/>
      <c r="C171" s="31"/>
      <c r="D171" s="4"/>
      <c r="E171" s="24"/>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6"/>
      <c r="CG171" s="4"/>
      <c r="CH171" s="37"/>
      <c r="CI171" s="37"/>
    </row>
    <row r="172" spans="1:87" ht="15" customHeight="1" x14ac:dyDescent="0.25">
      <c r="A172" s="31"/>
      <c r="B172" s="31"/>
      <c r="C172" s="31"/>
      <c r="D172" s="4"/>
      <c r="E172" s="24"/>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c r="CF172" s="26"/>
      <c r="CG172" s="4"/>
      <c r="CH172" s="37"/>
      <c r="CI172" s="37"/>
    </row>
    <row r="173" spans="1:87" ht="15" customHeight="1" x14ac:dyDescent="0.25">
      <c r="A173" s="31"/>
      <c r="B173" s="31"/>
      <c r="C173" s="31"/>
      <c r="D173" s="4"/>
      <c r="E173" s="24"/>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c r="CF173" s="26"/>
      <c r="CG173" s="4"/>
      <c r="CH173" s="37"/>
      <c r="CI173" s="37"/>
    </row>
    <row r="174" spans="1:87" ht="15" customHeight="1" x14ac:dyDescent="0.25">
      <c r="A174" s="31"/>
      <c r="B174" s="31"/>
      <c r="C174" s="31"/>
      <c r="D174" s="4"/>
      <c r="E174" s="24"/>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c r="CF174" s="26"/>
      <c r="CG174" s="4"/>
      <c r="CH174" s="37"/>
      <c r="CI174" s="37"/>
    </row>
    <row r="175" spans="1:87" ht="15" customHeight="1" x14ac:dyDescent="0.25">
      <c r="A175" s="31"/>
      <c r="B175" s="31"/>
      <c r="C175" s="31"/>
      <c r="D175" s="4"/>
      <c r="E175" s="24"/>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6"/>
      <c r="CG175" s="4"/>
      <c r="CH175" s="37"/>
      <c r="CI175" s="37"/>
    </row>
    <row r="176" spans="1:87" ht="15" customHeight="1" x14ac:dyDescent="0.25">
      <c r="A176" s="31"/>
      <c r="B176" s="31"/>
      <c r="C176" s="31"/>
      <c r="D176" s="4"/>
      <c r="E176" s="24"/>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6"/>
      <c r="CG176" s="4"/>
      <c r="CH176" s="37"/>
      <c r="CI176" s="37"/>
    </row>
    <row r="177" spans="1:87" ht="15" customHeight="1" x14ac:dyDescent="0.25">
      <c r="A177" s="31"/>
      <c r="B177" s="31"/>
      <c r="C177" s="31"/>
      <c r="D177" s="4"/>
      <c r="E177" s="24"/>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6"/>
      <c r="CG177" s="4"/>
      <c r="CH177" s="37"/>
      <c r="CI177" s="37"/>
    </row>
    <row r="178" spans="1:87" ht="15" customHeight="1" x14ac:dyDescent="0.25">
      <c r="A178" s="31"/>
      <c r="B178" s="31"/>
      <c r="C178" s="31"/>
      <c r="D178" s="4"/>
      <c r="E178" s="24"/>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c r="CF178" s="26"/>
      <c r="CG178" s="4"/>
      <c r="CH178" s="37"/>
      <c r="CI178" s="37"/>
    </row>
    <row r="179" spans="1:87" ht="15" customHeight="1" x14ac:dyDescent="0.25">
      <c r="A179" s="31"/>
      <c r="B179" s="31"/>
      <c r="C179" s="31"/>
      <c r="D179" s="4"/>
      <c r="E179" s="24"/>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c r="CF179" s="26"/>
      <c r="CG179" s="4"/>
      <c r="CH179" s="37"/>
      <c r="CI179" s="37"/>
    </row>
    <row r="180" spans="1:87" ht="15" customHeight="1" x14ac:dyDescent="0.25">
      <c r="A180" s="31"/>
      <c r="B180" s="31"/>
      <c r="C180" s="31"/>
      <c r="D180" s="4"/>
      <c r="E180" s="24"/>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c r="CF180" s="26"/>
      <c r="CG180" s="4"/>
      <c r="CH180" s="37"/>
      <c r="CI180" s="37"/>
    </row>
    <row r="181" spans="1:87" ht="15" customHeight="1" x14ac:dyDescent="0.25">
      <c r="A181" s="31"/>
      <c r="B181" s="31"/>
      <c r="C181" s="31"/>
      <c r="D181" s="4"/>
      <c r="E181" s="24"/>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6"/>
      <c r="CG181" s="4"/>
      <c r="CH181" s="37"/>
      <c r="CI181" s="37"/>
    </row>
    <row r="182" spans="1:87" ht="15" customHeight="1" x14ac:dyDescent="0.25">
      <c r="A182" s="31"/>
      <c r="B182" s="31"/>
      <c r="C182" s="31"/>
      <c r="D182" s="4"/>
      <c r="E182" s="24"/>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6"/>
      <c r="CG182" s="4"/>
      <c r="CH182" s="37"/>
      <c r="CI182" s="37"/>
    </row>
    <row r="183" spans="1:87" ht="15" customHeight="1" x14ac:dyDescent="0.25">
      <c r="A183" s="31"/>
      <c r="B183" s="31"/>
      <c r="C183" s="31"/>
      <c r="D183" s="4"/>
      <c r="E183" s="24"/>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6"/>
      <c r="CG183" s="4"/>
      <c r="CH183" s="37"/>
      <c r="CI183" s="37"/>
    </row>
    <row r="184" spans="1:87" ht="15" customHeight="1" x14ac:dyDescent="0.25">
      <c r="A184" s="31"/>
      <c r="B184" s="31"/>
      <c r="C184" s="31"/>
      <c r="D184" s="4"/>
      <c r="E184" s="24"/>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6"/>
      <c r="CG184" s="4"/>
      <c r="CH184" s="37"/>
      <c r="CI184" s="37"/>
    </row>
    <row r="185" spans="1:87" ht="15" customHeight="1" x14ac:dyDescent="0.25">
      <c r="A185" s="31"/>
      <c r="B185" s="31"/>
      <c r="C185" s="31"/>
      <c r="D185" s="4"/>
      <c r="E185" s="24"/>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6"/>
      <c r="CG185" s="4"/>
      <c r="CH185" s="37"/>
      <c r="CI185" s="37"/>
    </row>
    <row r="186" spans="1:87" ht="15" customHeight="1" x14ac:dyDescent="0.25">
      <c r="A186" s="31"/>
      <c r="B186" s="31"/>
      <c r="C186" s="31"/>
      <c r="D186" s="4"/>
      <c r="E186" s="24"/>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c r="CF186" s="26"/>
      <c r="CG186" s="4"/>
      <c r="CH186" s="37"/>
      <c r="CI186" s="37"/>
    </row>
    <row r="187" spans="1:87" ht="15" customHeight="1" x14ac:dyDescent="0.25">
      <c r="A187" s="31"/>
      <c r="B187" s="31"/>
      <c r="C187" s="31"/>
      <c r="D187" s="4"/>
      <c r="E187" s="24"/>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c r="CF187" s="26"/>
      <c r="CG187" s="4"/>
      <c r="CH187" s="37"/>
      <c r="CI187" s="37"/>
    </row>
    <row r="188" spans="1:87" ht="15" customHeight="1" x14ac:dyDescent="0.25">
      <c r="A188" s="31"/>
      <c r="B188" s="31"/>
      <c r="C188" s="31"/>
      <c r="D188" s="4"/>
      <c r="E188" s="24"/>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c r="CF188" s="26"/>
      <c r="CG188" s="4"/>
      <c r="CH188" s="37"/>
      <c r="CI188" s="37"/>
    </row>
    <row r="189" spans="1:87" ht="15" customHeight="1" x14ac:dyDescent="0.25">
      <c r="A189" s="31"/>
      <c r="B189" s="31"/>
      <c r="C189" s="31"/>
      <c r="D189" s="4"/>
      <c r="E189" s="24"/>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c r="CF189" s="26"/>
      <c r="CG189" s="4"/>
      <c r="CH189" s="37"/>
      <c r="CI189" s="37"/>
    </row>
    <row r="190" spans="1:87" ht="15" customHeight="1" x14ac:dyDescent="0.25">
      <c r="A190" s="31"/>
      <c r="B190" s="31"/>
      <c r="C190" s="31"/>
      <c r="D190" s="4"/>
      <c r="E190" s="24"/>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c r="CF190" s="26"/>
      <c r="CG190" s="4"/>
      <c r="CH190" s="37"/>
      <c r="CI190" s="37"/>
    </row>
    <row r="191" spans="1:87" ht="15" customHeight="1" x14ac:dyDescent="0.25">
      <c r="A191" s="31"/>
      <c r="B191" s="31"/>
      <c r="C191" s="31"/>
      <c r="D191" s="4"/>
      <c r="E191" s="24"/>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6"/>
      <c r="CG191" s="4"/>
      <c r="CH191" s="37"/>
      <c r="CI191" s="37"/>
    </row>
    <row r="192" spans="1:87" ht="15" customHeight="1" x14ac:dyDescent="0.25">
      <c r="A192" s="31"/>
      <c r="B192" s="31"/>
      <c r="C192" s="31"/>
      <c r="D192" s="4"/>
      <c r="E192" s="24"/>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6"/>
      <c r="CG192" s="4"/>
      <c r="CH192" s="37"/>
      <c r="CI192" s="37"/>
    </row>
    <row r="193" spans="1:87" ht="15" customHeight="1" x14ac:dyDescent="0.25">
      <c r="A193" s="31"/>
      <c r="B193" s="31"/>
      <c r="C193" s="31"/>
      <c r="D193" s="4"/>
      <c r="E193" s="24"/>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6"/>
      <c r="CG193" s="4"/>
      <c r="CH193" s="37"/>
      <c r="CI193" s="37"/>
    </row>
    <row r="194" spans="1:87" ht="15" customHeight="1" x14ac:dyDescent="0.25">
      <c r="A194" s="31"/>
      <c r="B194" s="31"/>
      <c r="C194" s="31"/>
      <c r="D194" s="4"/>
      <c r="E194" s="24"/>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6"/>
      <c r="CG194" s="4"/>
      <c r="CH194" s="37"/>
      <c r="CI194" s="37"/>
    </row>
    <row r="195" spans="1:87" ht="15" customHeight="1" x14ac:dyDescent="0.25">
      <c r="A195" s="31"/>
      <c r="B195" s="31"/>
      <c r="C195" s="31"/>
      <c r="D195" s="4"/>
      <c r="E195" s="24"/>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6"/>
      <c r="CG195" s="4"/>
      <c r="CH195" s="37"/>
      <c r="CI195" s="37"/>
    </row>
    <row r="196" spans="1:87" ht="15" customHeight="1" x14ac:dyDescent="0.25">
      <c r="A196" s="31"/>
      <c r="B196" s="31"/>
      <c r="C196" s="31"/>
      <c r="D196" s="4"/>
      <c r="E196" s="24"/>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c r="CF196" s="26"/>
      <c r="CG196" s="4"/>
      <c r="CH196" s="37"/>
      <c r="CI196" s="37"/>
    </row>
    <row r="197" spans="1:87" ht="15" customHeight="1" x14ac:dyDescent="0.25">
      <c r="A197" s="31"/>
      <c r="B197" s="31"/>
      <c r="C197" s="31"/>
      <c r="D197" s="4"/>
      <c r="E197" s="24"/>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c r="CF197" s="26"/>
      <c r="CG197" s="4"/>
      <c r="CH197" s="37"/>
      <c r="CI197" s="37"/>
    </row>
    <row r="198" spans="1:87" ht="15" customHeight="1" x14ac:dyDescent="0.25">
      <c r="A198" s="31"/>
      <c r="B198" s="31"/>
      <c r="C198" s="31"/>
      <c r="D198" s="4"/>
      <c r="E198" s="24"/>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6"/>
      <c r="CG198" s="4"/>
      <c r="CH198" s="37"/>
      <c r="CI198" s="37"/>
    </row>
    <row r="199" spans="1:87" ht="15" customHeight="1" x14ac:dyDescent="0.25">
      <c r="A199" s="31"/>
      <c r="B199" s="31"/>
      <c r="C199" s="31"/>
      <c r="D199" s="4"/>
      <c r="E199" s="24"/>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6"/>
      <c r="CG199" s="4"/>
      <c r="CH199" s="37"/>
      <c r="CI199" s="37"/>
    </row>
    <row r="200" spans="1:87" ht="15" customHeight="1" x14ac:dyDescent="0.25">
      <c r="A200" s="31"/>
      <c r="B200" s="31"/>
      <c r="C200" s="31"/>
      <c r="D200" s="4"/>
      <c r="E200" s="24"/>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c r="CF200" s="26"/>
      <c r="CG200" s="4"/>
      <c r="CH200" s="37"/>
      <c r="CI200" s="37"/>
    </row>
    <row r="201" spans="1:87" ht="15" customHeight="1" x14ac:dyDescent="0.25">
      <c r="A201" s="31"/>
      <c r="B201" s="31"/>
      <c r="C201" s="31"/>
      <c r="D201" s="4"/>
      <c r="E201" s="24"/>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6"/>
      <c r="CG201" s="4"/>
      <c r="CH201" s="37"/>
      <c r="CI201" s="37"/>
    </row>
    <row r="202" spans="1:87" ht="15" customHeight="1" x14ac:dyDescent="0.25">
      <c r="A202" s="31"/>
      <c r="B202" s="31"/>
      <c r="C202" s="31"/>
      <c r="D202" s="4"/>
      <c r="E202" s="24"/>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6"/>
      <c r="CG202" s="4"/>
      <c r="CH202" s="37"/>
      <c r="CI202" s="37"/>
    </row>
    <row r="203" spans="1:87" ht="15" customHeight="1" x14ac:dyDescent="0.25">
      <c r="A203" s="31"/>
      <c r="B203" s="31"/>
      <c r="C203" s="31"/>
      <c r="D203" s="4"/>
      <c r="E203" s="24"/>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6"/>
      <c r="CG203" s="4"/>
      <c r="CH203" s="37"/>
      <c r="CI203" s="37"/>
    </row>
    <row r="204" spans="1:87" ht="15" customHeight="1" x14ac:dyDescent="0.25">
      <c r="A204" s="31"/>
      <c r="B204" s="31"/>
      <c r="C204" s="31"/>
      <c r="D204" s="4"/>
      <c r="E204" s="24"/>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6"/>
      <c r="CG204" s="4"/>
      <c r="CH204" s="37"/>
      <c r="CI204" s="37"/>
    </row>
    <row r="205" spans="1:87" ht="15" customHeight="1" x14ac:dyDescent="0.25">
      <c r="A205" s="31"/>
      <c r="B205" s="31"/>
      <c r="C205" s="31"/>
      <c r="D205" s="4"/>
      <c r="E205" s="24"/>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c r="CF205" s="26"/>
      <c r="CG205" s="4"/>
      <c r="CH205" s="37"/>
      <c r="CI205" s="37"/>
    </row>
    <row r="206" spans="1:87" ht="15" customHeight="1" x14ac:dyDescent="0.25">
      <c r="A206" s="31"/>
      <c r="B206" s="31"/>
      <c r="C206" s="31"/>
      <c r="D206" s="4"/>
      <c r="E206" s="24"/>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6"/>
      <c r="CG206" s="4"/>
      <c r="CH206" s="37"/>
      <c r="CI206" s="37"/>
    </row>
    <row r="207" spans="1:87" ht="15" customHeight="1" x14ac:dyDescent="0.25">
      <c r="A207" s="31"/>
      <c r="B207" s="31"/>
      <c r="C207" s="31"/>
      <c r="D207" s="4"/>
      <c r="E207" s="24"/>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c r="CF207" s="26"/>
      <c r="CG207" s="4"/>
      <c r="CH207" s="37"/>
      <c r="CI207" s="37"/>
    </row>
    <row r="208" spans="1:87" ht="15" customHeight="1" x14ac:dyDescent="0.25">
      <c r="A208" s="31"/>
      <c r="B208" s="31"/>
      <c r="C208" s="31"/>
      <c r="D208" s="4"/>
      <c r="E208" s="24"/>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c r="CF208" s="26"/>
      <c r="CG208" s="4"/>
      <c r="CH208" s="37"/>
      <c r="CI208" s="37"/>
    </row>
    <row r="209" spans="1:87" ht="15" customHeight="1" x14ac:dyDescent="0.25">
      <c r="A209" s="31"/>
      <c r="B209" s="31"/>
      <c r="C209" s="31"/>
      <c r="D209" s="4"/>
      <c r="E209" s="24"/>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c r="CF209" s="26"/>
      <c r="CG209" s="4"/>
      <c r="CH209" s="37"/>
      <c r="CI209" s="37"/>
    </row>
    <row r="210" spans="1:87" ht="15" customHeight="1" x14ac:dyDescent="0.25">
      <c r="A210" s="31"/>
      <c r="B210" s="31"/>
      <c r="C210" s="31"/>
      <c r="D210" s="4"/>
      <c r="E210" s="24"/>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c r="CF210" s="26"/>
      <c r="CG210" s="4"/>
      <c r="CH210" s="37"/>
      <c r="CI210" s="37"/>
    </row>
    <row r="211" spans="1:87" ht="15" customHeight="1" x14ac:dyDescent="0.25">
      <c r="A211" s="31"/>
      <c r="B211" s="31"/>
      <c r="C211" s="31"/>
      <c r="D211" s="4"/>
      <c r="E211" s="24"/>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c r="CF211" s="26"/>
      <c r="CG211" s="4"/>
      <c r="CH211" s="37"/>
      <c r="CI211" s="37"/>
    </row>
    <row r="212" spans="1:87" ht="15" customHeight="1" x14ac:dyDescent="0.25">
      <c r="A212" s="31"/>
      <c r="B212" s="31"/>
      <c r="C212" s="31"/>
      <c r="D212" s="4"/>
      <c r="E212" s="24"/>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c r="CF212" s="26"/>
      <c r="CG212" s="4"/>
      <c r="CH212" s="37"/>
      <c r="CI212" s="37"/>
    </row>
    <row r="213" spans="1:87" ht="15" customHeight="1" x14ac:dyDescent="0.25">
      <c r="A213" s="31"/>
      <c r="B213" s="31"/>
      <c r="C213" s="31"/>
      <c r="D213" s="4"/>
      <c r="E213" s="24"/>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c r="CF213" s="26"/>
      <c r="CG213" s="4"/>
      <c r="CH213" s="37"/>
      <c r="CI213" s="37"/>
    </row>
    <row r="214" spans="1:87" ht="15" customHeight="1" x14ac:dyDescent="0.25">
      <c r="A214" s="31"/>
      <c r="B214" s="31"/>
      <c r="C214" s="31"/>
      <c r="D214" s="4"/>
      <c r="E214" s="24"/>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c r="CF214" s="26"/>
      <c r="CG214" s="4"/>
      <c r="CH214" s="37"/>
      <c r="CI214" s="37"/>
    </row>
    <row r="215" spans="1:87" ht="15" customHeight="1" x14ac:dyDescent="0.25">
      <c r="A215" s="31"/>
      <c r="B215" s="31"/>
      <c r="C215" s="31"/>
      <c r="D215" s="4"/>
      <c r="E215" s="24"/>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c r="CF215" s="26"/>
      <c r="CG215" s="4"/>
      <c r="CH215" s="37"/>
      <c r="CI215" s="37"/>
    </row>
    <row r="216" spans="1:87" ht="15" customHeight="1" x14ac:dyDescent="0.25">
      <c r="A216" s="31"/>
      <c r="B216" s="31"/>
      <c r="C216" s="31"/>
      <c r="D216" s="4"/>
      <c r="E216" s="24"/>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c r="CF216" s="26"/>
      <c r="CG216" s="4"/>
      <c r="CH216" s="37"/>
      <c r="CI216" s="37"/>
    </row>
    <row r="217" spans="1:87" ht="15" customHeight="1" x14ac:dyDescent="0.25">
      <c r="A217" s="31"/>
      <c r="B217" s="31"/>
      <c r="C217" s="31"/>
      <c r="D217" s="4"/>
      <c r="E217" s="24"/>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c r="CF217" s="26"/>
      <c r="CG217" s="4"/>
      <c r="CH217" s="37"/>
      <c r="CI217" s="37"/>
    </row>
    <row r="218" spans="1:87" ht="15" customHeight="1" x14ac:dyDescent="0.25">
      <c r="A218" s="31"/>
      <c r="B218" s="31"/>
      <c r="C218" s="31"/>
      <c r="D218" s="4"/>
      <c r="E218" s="24"/>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c r="CF218" s="26"/>
      <c r="CG218" s="4"/>
      <c r="CH218" s="37"/>
      <c r="CI218" s="37"/>
    </row>
    <row r="219" spans="1:87" ht="15" customHeight="1" x14ac:dyDescent="0.25">
      <c r="A219" s="31"/>
      <c r="B219" s="31"/>
      <c r="C219" s="31"/>
      <c r="D219" s="4"/>
      <c r="E219" s="24"/>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6"/>
      <c r="CG219" s="4"/>
      <c r="CH219" s="37"/>
      <c r="CI219" s="37"/>
    </row>
    <row r="220" spans="1:87" ht="15" customHeight="1" x14ac:dyDescent="0.25">
      <c r="A220" s="31"/>
      <c r="B220" s="31"/>
      <c r="C220" s="31"/>
      <c r="D220" s="4"/>
      <c r="E220" s="24"/>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c r="CF220" s="26"/>
      <c r="CG220" s="4"/>
      <c r="CH220" s="37"/>
      <c r="CI220" s="37"/>
    </row>
    <row r="221" spans="1:87" ht="15" customHeight="1" x14ac:dyDescent="0.25">
      <c r="A221" s="31"/>
      <c r="B221" s="31"/>
      <c r="C221" s="31"/>
      <c r="D221" s="4"/>
      <c r="E221" s="24"/>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6"/>
      <c r="CG221" s="4"/>
      <c r="CH221" s="37"/>
      <c r="CI221" s="37"/>
    </row>
    <row r="222" spans="1:87" ht="15" customHeight="1" x14ac:dyDescent="0.25">
      <c r="A222" s="31"/>
      <c r="B222" s="31"/>
      <c r="C222" s="31"/>
      <c r="D222" s="4"/>
      <c r="E222" s="24"/>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6"/>
      <c r="CG222" s="4"/>
      <c r="CH222" s="37"/>
      <c r="CI222" s="37"/>
    </row>
    <row r="223" spans="1:87" ht="15" customHeight="1" x14ac:dyDescent="0.25">
      <c r="A223" s="31"/>
      <c r="B223" s="31"/>
      <c r="C223" s="31"/>
      <c r="D223" s="4"/>
      <c r="E223" s="24"/>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6"/>
      <c r="CG223" s="4"/>
      <c r="CH223" s="37"/>
      <c r="CI223" s="37"/>
    </row>
    <row r="224" spans="1:87" ht="15" customHeight="1" x14ac:dyDescent="0.25">
      <c r="A224" s="31"/>
      <c r="B224" s="31"/>
      <c r="C224" s="31"/>
      <c r="D224" s="4"/>
      <c r="E224" s="24"/>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6"/>
      <c r="CG224" s="4"/>
      <c r="CH224" s="37"/>
      <c r="CI224" s="37"/>
    </row>
    <row r="225" spans="1:87" ht="15" customHeight="1" x14ac:dyDescent="0.25">
      <c r="A225" s="31"/>
      <c r="B225" s="31"/>
      <c r="C225" s="31"/>
      <c r="D225" s="4"/>
      <c r="E225" s="24"/>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c r="CF225" s="26"/>
      <c r="CG225" s="4"/>
      <c r="CH225" s="37"/>
      <c r="CI225" s="37"/>
    </row>
    <row r="226" spans="1:87" ht="15" customHeight="1" x14ac:dyDescent="0.25">
      <c r="A226" s="31"/>
      <c r="B226" s="31"/>
      <c r="C226" s="31"/>
      <c r="D226" s="4"/>
      <c r="E226" s="24"/>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c r="CF226" s="26"/>
      <c r="CG226" s="4"/>
      <c r="CH226" s="37"/>
      <c r="CI226" s="37"/>
    </row>
    <row r="227" spans="1:87" ht="15" customHeight="1" x14ac:dyDescent="0.25">
      <c r="A227" s="31"/>
      <c r="B227" s="31"/>
      <c r="C227" s="31"/>
      <c r="D227" s="4"/>
      <c r="E227" s="24"/>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c r="CF227" s="26"/>
      <c r="CG227" s="4"/>
      <c r="CH227" s="37"/>
      <c r="CI227" s="37"/>
    </row>
    <row r="228" spans="1:87" ht="15" customHeight="1" x14ac:dyDescent="0.25">
      <c r="A228" s="31"/>
      <c r="B228" s="31"/>
      <c r="C228" s="31"/>
      <c r="D228" s="4"/>
      <c r="E228" s="24"/>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6"/>
      <c r="CG228" s="4"/>
      <c r="CH228" s="37"/>
      <c r="CI228" s="37"/>
    </row>
    <row r="229" spans="1:87" ht="15" customHeight="1" x14ac:dyDescent="0.25">
      <c r="A229" s="31"/>
      <c r="B229" s="31"/>
      <c r="C229" s="31"/>
      <c r="D229" s="4"/>
      <c r="E229" s="24"/>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6"/>
      <c r="CG229" s="4"/>
      <c r="CH229" s="37"/>
      <c r="CI229" s="37"/>
    </row>
    <row r="230" spans="1:87" ht="15" customHeight="1" x14ac:dyDescent="0.25">
      <c r="A230" s="31"/>
      <c r="B230" s="31"/>
      <c r="C230" s="31"/>
      <c r="D230" s="4"/>
      <c r="E230" s="24"/>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6"/>
      <c r="CG230" s="4"/>
      <c r="CH230" s="37"/>
      <c r="CI230" s="37"/>
    </row>
    <row r="231" spans="1:87" ht="15" customHeight="1" x14ac:dyDescent="0.25">
      <c r="A231" s="31"/>
      <c r="B231" s="31"/>
      <c r="C231" s="31"/>
      <c r="D231" s="4"/>
      <c r="E231" s="24"/>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6"/>
      <c r="CG231" s="4"/>
      <c r="CH231" s="37"/>
      <c r="CI231" s="37"/>
    </row>
    <row r="232" spans="1:87" ht="15" customHeight="1" x14ac:dyDescent="0.25">
      <c r="A232" s="31"/>
      <c r="B232" s="31"/>
      <c r="C232" s="31"/>
      <c r="D232" s="4"/>
      <c r="E232" s="24"/>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6"/>
      <c r="CG232" s="4"/>
      <c r="CH232" s="37"/>
      <c r="CI232" s="37"/>
    </row>
    <row r="233" spans="1:87" ht="15" customHeight="1" x14ac:dyDescent="0.25">
      <c r="A233" s="31"/>
      <c r="B233" s="31"/>
      <c r="C233" s="31"/>
      <c r="D233" s="4"/>
      <c r="E233" s="24"/>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c r="CF233" s="26"/>
      <c r="CG233" s="4"/>
      <c r="CH233" s="37"/>
      <c r="CI233" s="37"/>
    </row>
    <row r="234" spans="1:87" ht="15" customHeight="1" x14ac:dyDescent="0.25">
      <c r="A234" s="31"/>
      <c r="B234" s="31"/>
      <c r="C234" s="31"/>
      <c r="D234" s="4"/>
      <c r="E234" s="24"/>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c r="CF234" s="26"/>
      <c r="CG234" s="4"/>
      <c r="CH234" s="37"/>
      <c r="CI234" s="37"/>
    </row>
    <row r="235" spans="1:87" ht="15" customHeight="1" x14ac:dyDescent="0.25">
      <c r="A235" s="31"/>
      <c r="B235" s="31"/>
      <c r="C235" s="31"/>
      <c r="D235" s="4"/>
      <c r="E235" s="24"/>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c r="CF235" s="26"/>
      <c r="CG235" s="4"/>
      <c r="CH235" s="37"/>
      <c r="CI235" s="37"/>
    </row>
    <row r="236" spans="1:87" ht="15" customHeight="1" x14ac:dyDescent="0.25">
      <c r="A236" s="31"/>
      <c r="B236" s="31"/>
      <c r="C236" s="31"/>
      <c r="D236" s="4"/>
      <c r="E236" s="24"/>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c r="CF236" s="26"/>
      <c r="CG236" s="4"/>
      <c r="CH236" s="37"/>
      <c r="CI236" s="37"/>
    </row>
    <row r="237" spans="1:87" ht="15" customHeight="1" x14ac:dyDescent="0.25">
      <c r="A237" s="31"/>
      <c r="B237" s="31"/>
      <c r="C237" s="31"/>
      <c r="D237" s="4"/>
      <c r="E237" s="24"/>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c r="CF237" s="26"/>
      <c r="CG237" s="4"/>
      <c r="CH237" s="37"/>
      <c r="CI237" s="37"/>
    </row>
    <row r="238" spans="1:87" ht="15" customHeight="1" x14ac:dyDescent="0.25">
      <c r="A238" s="31"/>
      <c r="B238" s="31"/>
      <c r="C238" s="31"/>
      <c r="D238" s="4"/>
      <c r="E238" s="24"/>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c r="CF238" s="26"/>
      <c r="CG238" s="4"/>
      <c r="CH238" s="37"/>
      <c r="CI238" s="37"/>
    </row>
    <row r="239" spans="1:87" ht="15" customHeight="1" x14ac:dyDescent="0.25">
      <c r="A239" s="31"/>
      <c r="B239" s="31"/>
      <c r="C239" s="31"/>
      <c r="D239" s="4"/>
      <c r="E239" s="24"/>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c r="CF239" s="26"/>
      <c r="CG239" s="4"/>
      <c r="CH239" s="37"/>
      <c r="CI239" s="37"/>
    </row>
    <row r="240" spans="1:87" ht="15" customHeight="1" x14ac:dyDescent="0.25">
      <c r="A240" s="31"/>
      <c r="B240" s="31"/>
      <c r="C240" s="31"/>
      <c r="D240" s="4"/>
      <c r="E240" s="24"/>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c r="CF240" s="26"/>
      <c r="CG240" s="4"/>
      <c r="CH240" s="37"/>
      <c r="CI240" s="37"/>
    </row>
    <row r="241" spans="1:87" ht="15" customHeight="1" x14ac:dyDescent="0.25">
      <c r="A241" s="31"/>
      <c r="B241" s="31"/>
      <c r="C241" s="31"/>
      <c r="D241" s="4"/>
      <c r="E241" s="24"/>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c r="CF241" s="26"/>
      <c r="CG241" s="4"/>
      <c r="CH241" s="37"/>
      <c r="CI241" s="37"/>
    </row>
    <row r="242" spans="1:87" ht="15" customHeight="1" x14ac:dyDescent="0.25">
      <c r="A242" s="31"/>
      <c r="B242" s="31"/>
      <c r="C242" s="31"/>
      <c r="D242" s="4"/>
      <c r="E242" s="24"/>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c r="CF242" s="26"/>
      <c r="CG242" s="4"/>
      <c r="CH242" s="37"/>
      <c r="CI242" s="37"/>
    </row>
    <row r="243" spans="1:87" ht="15" customHeight="1" x14ac:dyDescent="0.25">
      <c r="A243" s="31"/>
      <c r="B243" s="31"/>
      <c r="C243" s="31"/>
      <c r="D243" s="4"/>
      <c r="E243" s="24"/>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c r="CF243" s="26"/>
      <c r="CG243" s="4"/>
      <c r="CH243" s="37"/>
      <c r="CI243" s="37"/>
    </row>
    <row r="244" spans="1:87" ht="15" customHeight="1" x14ac:dyDescent="0.25">
      <c r="A244" s="31"/>
      <c r="B244" s="31"/>
      <c r="C244" s="31"/>
      <c r="D244" s="4"/>
      <c r="E244" s="24"/>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c r="CF244" s="26"/>
      <c r="CG244" s="4"/>
      <c r="CH244" s="37"/>
      <c r="CI244" s="37"/>
    </row>
    <row r="245" spans="1:87" ht="15" customHeight="1" x14ac:dyDescent="0.25">
      <c r="A245" s="31"/>
      <c r="B245" s="31"/>
      <c r="C245" s="31"/>
      <c r="D245" s="4"/>
      <c r="E245" s="24"/>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c r="CF245" s="26"/>
      <c r="CG245" s="4"/>
      <c r="CH245" s="37"/>
      <c r="CI245" s="37"/>
    </row>
    <row r="246" spans="1:87" ht="15" customHeight="1" x14ac:dyDescent="0.25">
      <c r="A246" s="31"/>
      <c r="B246" s="31"/>
      <c r="C246" s="31"/>
      <c r="D246" s="4"/>
      <c r="E246" s="24"/>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c r="CF246" s="26"/>
      <c r="CG246" s="4"/>
      <c r="CH246" s="37"/>
      <c r="CI246" s="37"/>
    </row>
    <row r="247" spans="1:87" ht="15" customHeight="1" x14ac:dyDescent="0.25">
      <c r="A247" s="31"/>
      <c r="B247" s="31"/>
      <c r="C247" s="31"/>
      <c r="D247" s="4"/>
      <c r="E247" s="24"/>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c r="CF247" s="26"/>
      <c r="CG247" s="4"/>
      <c r="CH247" s="37"/>
      <c r="CI247" s="37"/>
    </row>
    <row r="248" spans="1:87" ht="15" customHeight="1" x14ac:dyDescent="0.25">
      <c r="A248" s="31"/>
      <c r="B248" s="31"/>
      <c r="C248" s="31"/>
      <c r="D248" s="4"/>
      <c r="E248" s="24"/>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c r="CF248" s="26"/>
      <c r="CG248" s="4"/>
      <c r="CH248" s="37"/>
      <c r="CI248" s="37"/>
    </row>
    <row r="249" spans="1:87" ht="15" customHeight="1" x14ac:dyDescent="0.25">
      <c r="A249" s="31"/>
      <c r="B249" s="31"/>
      <c r="C249" s="31"/>
      <c r="D249" s="4"/>
      <c r="E249" s="24"/>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c r="CF249" s="26"/>
      <c r="CG249" s="4"/>
      <c r="CH249" s="37"/>
      <c r="CI249" s="37"/>
    </row>
    <row r="250" spans="1:87" ht="15" customHeight="1" x14ac:dyDescent="0.25">
      <c r="A250" s="31"/>
      <c r="B250" s="31"/>
      <c r="C250" s="31"/>
      <c r="D250" s="4"/>
      <c r="E250" s="24"/>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c r="CF250" s="26"/>
      <c r="CG250" s="4"/>
      <c r="CH250" s="37"/>
      <c r="CI250" s="37"/>
    </row>
    <row r="251" spans="1:87" ht="15" customHeight="1" x14ac:dyDescent="0.25">
      <c r="A251" s="31"/>
      <c r="B251" s="31"/>
      <c r="C251" s="31"/>
      <c r="D251" s="4"/>
      <c r="E251" s="24"/>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c r="CF251" s="26"/>
      <c r="CG251" s="4"/>
      <c r="CH251" s="37"/>
      <c r="CI251" s="37"/>
    </row>
    <row r="252" spans="1:87" ht="15" customHeight="1" x14ac:dyDescent="0.25">
      <c r="A252" s="31"/>
      <c r="B252" s="31"/>
      <c r="C252" s="31"/>
      <c r="D252" s="4"/>
      <c r="E252" s="24"/>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c r="CF252" s="26"/>
      <c r="CG252" s="4"/>
      <c r="CH252" s="37"/>
      <c r="CI252" s="37"/>
    </row>
    <row r="253" spans="1:87" ht="15" customHeight="1" x14ac:dyDescent="0.25">
      <c r="A253" s="31"/>
      <c r="B253" s="31"/>
      <c r="C253" s="31"/>
      <c r="D253" s="4"/>
      <c r="E253" s="24"/>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6"/>
      <c r="CG253" s="4"/>
      <c r="CH253" s="37"/>
      <c r="CI253" s="37"/>
    </row>
    <row r="254" spans="1:87" ht="15" customHeight="1" x14ac:dyDescent="0.25">
      <c r="A254" s="31"/>
      <c r="B254" s="31"/>
      <c r="C254" s="31"/>
      <c r="D254" s="4"/>
      <c r="E254" s="24"/>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c r="CF254" s="26"/>
      <c r="CG254" s="4"/>
      <c r="CH254" s="37"/>
      <c r="CI254" s="37"/>
    </row>
    <row r="255" spans="1:87" ht="15" customHeight="1" x14ac:dyDescent="0.25">
      <c r="A255" s="31"/>
      <c r="B255" s="31"/>
      <c r="C255" s="31"/>
      <c r="D255" s="4"/>
      <c r="E255" s="24"/>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6"/>
      <c r="CG255" s="4"/>
      <c r="CH255" s="37"/>
      <c r="CI255" s="37"/>
    </row>
    <row r="256" spans="1:87" ht="15" customHeight="1" x14ac:dyDescent="0.25">
      <c r="A256" s="31"/>
      <c r="B256" s="31"/>
      <c r="C256" s="31"/>
      <c r="D256" s="4"/>
      <c r="E256" s="24"/>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c r="CF256" s="26"/>
      <c r="CG256" s="4"/>
      <c r="CH256" s="37"/>
      <c r="CI256" s="37"/>
    </row>
    <row r="257" spans="1:87" ht="15" customHeight="1" x14ac:dyDescent="0.25">
      <c r="A257" s="31"/>
      <c r="B257" s="31"/>
      <c r="C257" s="31"/>
      <c r="D257" s="4"/>
      <c r="E257" s="24"/>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c r="CF257" s="26"/>
      <c r="CG257" s="4"/>
      <c r="CH257" s="37"/>
      <c r="CI257" s="37"/>
    </row>
    <row r="258" spans="1:87" ht="15" customHeight="1" x14ac:dyDescent="0.25">
      <c r="A258" s="31"/>
      <c r="B258" s="31"/>
      <c r="C258" s="31"/>
      <c r="D258" s="4"/>
      <c r="E258" s="24"/>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c r="CF258" s="26"/>
      <c r="CG258" s="4"/>
      <c r="CH258" s="37"/>
      <c r="CI258" s="37"/>
    </row>
    <row r="259" spans="1:87" ht="15" customHeight="1" x14ac:dyDescent="0.25">
      <c r="A259" s="31"/>
      <c r="B259" s="31"/>
      <c r="C259" s="31"/>
      <c r="D259" s="4"/>
      <c r="E259" s="24"/>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c r="CF259" s="26"/>
      <c r="CG259" s="4"/>
      <c r="CH259" s="37"/>
      <c r="CI259" s="37"/>
    </row>
    <row r="260" spans="1:87" ht="15" customHeight="1" x14ac:dyDescent="0.25">
      <c r="A260" s="31"/>
      <c r="B260" s="31"/>
      <c r="C260" s="31"/>
      <c r="D260" s="4"/>
      <c r="E260" s="24"/>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c r="CF260" s="26"/>
      <c r="CG260" s="4"/>
      <c r="CH260" s="37"/>
      <c r="CI260" s="37"/>
    </row>
    <row r="261" spans="1:87" ht="15" customHeight="1" x14ac:dyDescent="0.25">
      <c r="A261" s="31"/>
      <c r="B261" s="31"/>
      <c r="C261" s="31"/>
      <c r="D261" s="4"/>
      <c r="E261" s="24"/>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c r="CF261" s="26"/>
      <c r="CG261" s="4"/>
      <c r="CH261" s="37"/>
      <c r="CI261" s="37"/>
    </row>
    <row r="262" spans="1:87" ht="15" customHeight="1" x14ac:dyDescent="0.25">
      <c r="A262" s="31"/>
      <c r="B262" s="31"/>
      <c r="C262" s="31"/>
      <c r="D262" s="4"/>
      <c r="E262" s="24"/>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c r="CF262" s="26"/>
      <c r="CG262" s="4"/>
      <c r="CH262" s="37"/>
      <c r="CI262" s="37"/>
    </row>
    <row r="263" spans="1:87" ht="15" customHeight="1" x14ac:dyDescent="0.25">
      <c r="A263" s="31"/>
      <c r="B263" s="31"/>
      <c r="C263" s="31"/>
      <c r="D263" s="4"/>
      <c r="E263" s="24"/>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c r="CF263" s="26"/>
      <c r="CG263" s="4"/>
      <c r="CH263" s="37"/>
      <c r="CI263" s="37"/>
    </row>
    <row r="264" spans="1:87" ht="15" customHeight="1" x14ac:dyDescent="0.25">
      <c r="A264" s="31"/>
      <c r="B264" s="31"/>
      <c r="C264" s="31"/>
      <c r="D264" s="4"/>
      <c r="E264" s="24"/>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c r="CF264" s="26"/>
      <c r="CG264" s="4"/>
      <c r="CH264" s="37"/>
      <c r="CI264" s="37"/>
    </row>
    <row r="265" spans="1:87" ht="15" customHeight="1" x14ac:dyDescent="0.25">
      <c r="A265" s="31"/>
      <c r="B265" s="31"/>
      <c r="C265" s="31"/>
      <c r="D265" s="4"/>
      <c r="E265" s="24"/>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c r="CF265" s="26"/>
      <c r="CG265" s="4"/>
      <c r="CH265" s="37"/>
      <c r="CI265" s="37"/>
    </row>
    <row r="266" spans="1:87" ht="15" customHeight="1" x14ac:dyDescent="0.25">
      <c r="A266" s="31"/>
      <c r="B266" s="31"/>
      <c r="C266" s="31"/>
      <c r="D266" s="4"/>
      <c r="E266" s="24"/>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c r="CF266" s="26"/>
      <c r="CG266" s="4"/>
      <c r="CH266" s="37"/>
      <c r="CI266" s="37"/>
    </row>
    <row r="267" spans="1:87" ht="15" customHeight="1" x14ac:dyDescent="0.25">
      <c r="A267" s="31"/>
      <c r="B267" s="31"/>
      <c r="C267" s="31"/>
      <c r="D267" s="4"/>
      <c r="E267" s="24"/>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c r="CF267" s="26"/>
      <c r="CG267" s="4"/>
      <c r="CH267" s="37"/>
      <c r="CI267" s="37"/>
    </row>
    <row r="268" spans="1:87" ht="15" customHeight="1" x14ac:dyDescent="0.25">
      <c r="A268" s="31"/>
      <c r="B268" s="31"/>
      <c r="C268" s="31"/>
      <c r="D268" s="4"/>
      <c r="E268" s="24"/>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c r="CF268" s="26"/>
      <c r="CG268" s="4"/>
      <c r="CH268" s="37"/>
      <c r="CI268" s="37"/>
    </row>
    <row r="269" spans="1:87" ht="15" customHeight="1" x14ac:dyDescent="0.25">
      <c r="A269" s="31"/>
      <c r="B269" s="31"/>
      <c r="C269" s="31"/>
      <c r="D269" s="4"/>
      <c r="E269" s="24"/>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c r="CF269" s="26"/>
      <c r="CG269" s="4"/>
      <c r="CH269" s="37"/>
      <c r="CI269" s="37"/>
    </row>
    <row r="270" spans="1:87" ht="15" customHeight="1" x14ac:dyDescent="0.25">
      <c r="A270" s="31"/>
      <c r="B270" s="31"/>
      <c r="C270" s="31"/>
      <c r="D270" s="4"/>
      <c r="E270" s="24"/>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c r="CF270" s="26"/>
      <c r="CG270" s="4"/>
      <c r="CH270" s="37"/>
      <c r="CI270" s="37"/>
    </row>
    <row r="271" spans="1:87" ht="15" customHeight="1" x14ac:dyDescent="0.25">
      <c r="A271" s="31"/>
      <c r="B271" s="31"/>
      <c r="C271" s="31"/>
      <c r="D271" s="4"/>
      <c r="E271" s="24"/>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c r="CF271" s="26"/>
      <c r="CG271" s="4"/>
      <c r="CH271" s="37"/>
      <c r="CI271" s="37"/>
    </row>
    <row r="272" spans="1:87" ht="15" customHeight="1" x14ac:dyDescent="0.25">
      <c r="A272" s="31"/>
      <c r="B272" s="31"/>
      <c r="C272" s="31"/>
      <c r="D272" s="4"/>
      <c r="E272" s="24"/>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c r="CF272" s="26"/>
      <c r="CG272" s="4"/>
      <c r="CH272" s="37"/>
      <c r="CI272" s="37"/>
    </row>
    <row r="273" spans="1:87" ht="15" customHeight="1" x14ac:dyDescent="0.25">
      <c r="A273" s="31"/>
      <c r="B273" s="31"/>
      <c r="C273" s="31"/>
      <c r="D273" s="4"/>
      <c r="E273" s="24"/>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c r="CF273" s="26"/>
      <c r="CG273" s="4"/>
      <c r="CH273" s="37"/>
      <c r="CI273" s="37"/>
    </row>
    <row r="274" spans="1:87" ht="15" customHeight="1" x14ac:dyDescent="0.25">
      <c r="A274" s="31"/>
      <c r="B274" s="31"/>
      <c r="C274" s="31"/>
      <c r="D274" s="4"/>
      <c r="E274" s="24"/>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c r="CF274" s="26"/>
      <c r="CG274" s="4"/>
      <c r="CH274" s="37"/>
      <c r="CI274" s="37"/>
    </row>
    <row r="275" spans="1:87" ht="15" customHeight="1" x14ac:dyDescent="0.25">
      <c r="A275" s="31"/>
      <c r="B275" s="31"/>
      <c r="C275" s="31"/>
      <c r="D275" s="4"/>
      <c r="E275" s="24"/>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c r="CF275" s="26"/>
      <c r="CG275" s="4"/>
      <c r="CH275" s="37"/>
      <c r="CI275" s="37"/>
    </row>
    <row r="276" spans="1:87" ht="15" customHeight="1" x14ac:dyDescent="0.25">
      <c r="A276" s="31"/>
      <c r="B276" s="31"/>
      <c r="C276" s="31"/>
      <c r="D276" s="4"/>
      <c r="E276" s="24"/>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c r="CF276" s="26"/>
      <c r="CG276" s="4"/>
      <c r="CH276" s="37"/>
      <c r="CI276" s="37"/>
    </row>
    <row r="277" spans="1:87" ht="15" customHeight="1" x14ac:dyDescent="0.25">
      <c r="A277" s="31"/>
      <c r="B277" s="31"/>
      <c r="C277" s="31"/>
      <c r="D277" s="4"/>
      <c r="E277" s="24"/>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c r="CF277" s="26"/>
      <c r="CG277" s="4"/>
      <c r="CH277" s="37"/>
      <c r="CI277" s="37"/>
    </row>
    <row r="278" spans="1:87" ht="15" customHeight="1" x14ac:dyDescent="0.25">
      <c r="A278" s="31"/>
      <c r="B278" s="31"/>
      <c r="C278" s="31"/>
      <c r="D278" s="4"/>
      <c r="E278" s="24"/>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c r="CF278" s="26"/>
      <c r="CG278" s="4"/>
      <c r="CH278" s="37"/>
      <c r="CI278" s="37"/>
    </row>
    <row r="279" spans="1:87" ht="15" customHeight="1" x14ac:dyDescent="0.25">
      <c r="A279" s="31"/>
      <c r="B279" s="31"/>
      <c r="C279" s="31"/>
      <c r="D279" s="4"/>
      <c r="E279" s="24"/>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c r="CF279" s="26"/>
      <c r="CG279" s="4"/>
      <c r="CH279" s="37"/>
      <c r="CI279" s="37"/>
    </row>
    <row r="280" spans="1:87" ht="15" customHeight="1" x14ac:dyDescent="0.25">
      <c r="A280" s="31"/>
      <c r="B280" s="31"/>
      <c r="C280" s="31"/>
      <c r="D280" s="4"/>
      <c r="E280" s="24"/>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c r="CF280" s="26"/>
      <c r="CG280" s="4"/>
      <c r="CH280" s="37"/>
      <c r="CI280" s="37"/>
    </row>
    <row r="281" spans="1:87" ht="15" customHeight="1" x14ac:dyDescent="0.25">
      <c r="A281" s="31"/>
      <c r="B281" s="31"/>
      <c r="C281" s="31"/>
      <c r="D281" s="4"/>
      <c r="E281" s="24"/>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c r="CF281" s="26"/>
      <c r="CG281" s="4"/>
      <c r="CH281" s="37"/>
      <c r="CI281" s="37"/>
    </row>
    <row r="282" spans="1:87" ht="15" customHeight="1" x14ac:dyDescent="0.25">
      <c r="A282" s="31"/>
      <c r="B282" s="31"/>
      <c r="C282" s="31"/>
      <c r="D282" s="4"/>
      <c r="E282" s="24"/>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c r="CF282" s="26"/>
      <c r="CG282" s="4"/>
      <c r="CH282" s="37"/>
      <c r="CI282" s="37"/>
    </row>
    <row r="283" spans="1:87" ht="15" customHeight="1" x14ac:dyDescent="0.25">
      <c r="A283" s="31"/>
      <c r="B283" s="31"/>
      <c r="C283" s="31"/>
      <c r="D283" s="4"/>
      <c r="E283" s="24"/>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c r="CF283" s="26"/>
      <c r="CG283" s="4"/>
      <c r="CH283" s="37"/>
      <c r="CI283" s="37"/>
    </row>
    <row r="284" spans="1:87" ht="15" customHeight="1" x14ac:dyDescent="0.25">
      <c r="A284" s="31"/>
      <c r="B284" s="31"/>
      <c r="C284" s="31"/>
      <c r="D284" s="4"/>
      <c r="E284" s="24"/>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c r="CF284" s="26"/>
      <c r="CG284" s="4"/>
      <c r="CH284" s="37"/>
      <c r="CI284" s="37"/>
    </row>
    <row r="285" spans="1:87" ht="15" customHeight="1" x14ac:dyDescent="0.25">
      <c r="A285" s="31"/>
      <c r="B285" s="31"/>
      <c r="C285" s="31"/>
      <c r="D285" s="4"/>
      <c r="E285" s="24"/>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c r="CF285" s="26"/>
      <c r="CG285" s="4"/>
      <c r="CH285" s="37"/>
      <c r="CI285" s="37"/>
    </row>
    <row r="286" spans="1:87" ht="15" customHeight="1" x14ac:dyDescent="0.25">
      <c r="A286" s="31"/>
      <c r="B286" s="31"/>
      <c r="C286" s="31"/>
      <c r="D286" s="4"/>
      <c r="E286" s="24"/>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c r="CF286" s="26"/>
      <c r="CG286" s="4"/>
      <c r="CH286" s="37"/>
      <c r="CI286" s="37"/>
    </row>
    <row r="287" spans="1:87" ht="15" customHeight="1" x14ac:dyDescent="0.25">
      <c r="A287" s="31"/>
      <c r="B287" s="31"/>
      <c r="C287" s="31"/>
      <c r="D287" s="4"/>
      <c r="E287" s="24"/>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c r="CF287" s="26"/>
      <c r="CG287" s="4"/>
      <c r="CH287" s="37"/>
      <c r="CI287" s="37"/>
    </row>
    <row r="288" spans="1:87" ht="15" customHeight="1" x14ac:dyDescent="0.25">
      <c r="A288" s="31"/>
      <c r="B288" s="31"/>
      <c r="C288" s="31"/>
      <c r="D288" s="4"/>
      <c r="E288" s="24"/>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c r="CF288" s="26"/>
      <c r="CG288" s="4"/>
      <c r="CH288" s="37"/>
      <c r="CI288" s="37"/>
    </row>
    <row r="289" spans="1:87" ht="15" customHeight="1" x14ac:dyDescent="0.25">
      <c r="A289" s="31"/>
      <c r="B289" s="31"/>
      <c r="C289" s="31"/>
      <c r="D289" s="4"/>
      <c r="E289" s="24"/>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c r="CF289" s="26"/>
      <c r="CG289" s="4"/>
      <c r="CH289" s="37"/>
      <c r="CI289" s="37"/>
    </row>
    <row r="290" spans="1:87" ht="15" customHeight="1" x14ac:dyDescent="0.25">
      <c r="A290" s="31"/>
      <c r="B290" s="31"/>
      <c r="C290" s="31"/>
      <c r="D290" s="4"/>
      <c r="E290" s="24"/>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c r="CF290" s="26"/>
      <c r="CG290" s="4"/>
      <c r="CH290" s="37"/>
      <c r="CI290" s="37"/>
    </row>
    <row r="291" spans="1:87" ht="15" customHeight="1" x14ac:dyDescent="0.25">
      <c r="A291" s="31"/>
      <c r="B291" s="31"/>
      <c r="C291" s="31"/>
      <c r="D291" s="4"/>
      <c r="E291" s="24"/>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c r="CF291" s="26"/>
      <c r="CG291" s="4"/>
      <c r="CH291" s="37"/>
      <c r="CI291" s="37"/>
    </row>
    <row r="292" spans="1:87" ht="15" customHeight="1" x14ac:dyDescent="0.25">
      <c r="A292" s="31"/>
      <c r="B292" s="31"/>
      <c r="C292" s="31"/>
      <c r="D292" s="4"/>
      <c r="E292" s="24"/>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c r="CF292" s="26"/>
      <c r="CG292" s="4"/>
      <c r="CH292" s="37"/>
      <c r="CI292" s="37"/>
    </row>
    <row r="293" spans="1:87" ht="15" customHeight="1" x14ac:dyDescent="0.25">
      <c r="A293" s="31"/>
      <c r="B293" s="31"/>
      <c r="C293" s="31"/>
      <c r="D293" s="4"/>
      <c r="E293" s="24"/>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c r="CF293" s="26"/>
      <c r="CG293" s="4"/>
      <c r="CH293" s="37"/>
      <c r="CI293" s="37"/>
    </row>
    <row r="294" spans="1:87" ht="15" customHeight="1" x14ac:dyDescent="0.25">
      <c r="A294" s="31"/>
      <c r="B294" s="31"/>
      <c r="C294" s="31"/>
      <c r="D294" s="4"/>
      <c r="E294" s="24"/>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c r="CF294" s="26"/>
      <c r="CG294" s="4"/>
      <c r="CH294" s="37"/>
      <c r="CI294" s="37"/>
    </row>
    <row r="295" spans="1:87" ht="15" customHeight="1" x14ac:dyDescent="0.25">
      <c r="A295" s="31"/>
      <c r="B295" s="31"/>
      <c r="C295" s="31"/>
      <c r="D295" s="4"/>
      <c r="E295" s="24"/>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c r="CF295" s="26"/>
      <c r="CG295" s="4"/>
      <c r="CH295" s="37"/>
      <c r="CI295" s="37"/>
    </row>
    <row r="296" spans="1:87" ht="15" customHeight="1" x14ac:dyDescent="0.25">
      <c r="A296" s="31"/>
      <c r="B296" s="31"/>
      <c r="C296" s="31"/>
      <c r="D296" s="4"/>
      <c r="E296" s="24"/>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c r="CF296" s="26"/>
      <c r="CG296" s="4"/>
      <c r="CH296" s="37"/>
      <c r="CI296" s="37"/>
    </row>
    <row r="297" spans="1:87" ht="15" customHeight="1" x14ac:dyDescent="0.25">
      <c r="A297" s="31"/>
      <c r="B297" s="31"/>
      <c r="C297" s="31"/>
      <c r="D297" s="4"/>
      <c r="E297" s="24"/>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c r="CF297" s="26"/>
      <c r="CG297" s="4"/>
      <c r="CH297" s="37"/>
      <c r="CI297" s="37"/>
    </row>
    <row r="298" spans="1:87" ht="15" customHeight="1" x14ac:dyDescent="0.25">
      <c r="A298" s="31"/>
      <c r="B298" s="31"/>
      <c r="C298" s="31"/>
      <c r="D298" s="4"/>
      <c r="E298" s="24"/>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c r="CF298" s="26"/>
      <c r="CG298" s="4"/>
      <c r="CH298" s="37"/>
      <c r="CI298" s="37"/>
    </row>
    <row r="299" spans="1:87" ht="15" customHeight="1" x14ac:dyDescent="0.25">
      <c r="A299" s="31"/>
      <c r="B299" s="31"/>
      <c r="C299" s="31"/>
      <c r="D299" s="4"/>
      <c r="E299" s="24"/>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c r="CF299" s="26"/>
      <c r="CG299" s="4"/>
      <c r="CH299" s="37"/>
      <c r="CI299" s="37"/>
    </row>
    <row r="300" spans="1:87" ht="15" customHeight="1" x14ac:dyDescent="0.25">
      <c r="A300" s="31"/>
      <c r="B300" s="31"/>
      <c r="C300" s="31"/>
      <c r="D300" s="4"/>
      <c r="E300" s="24"/>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c r="CF300" s="26"/>
      <c r="CG300" s="4"/>
      <c r="CH300" s="37"/>
      <c r="CI300" s="37"/>
    </row>
    <row r="301" spans="1:87" ht="15" customHeight="1" x14ac:dyDescent="0.25">
      <c r="A301" s="31"/>
      <c r="B301" s="31"/>
      <c r="C301" s="31"/>
      <c r="D301" s="4"/>
      <c r="E301" s="24"/>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c r="CB301" s="25"/>
      <c r="CC301" s="25"/>
      <c r="CD301" s="25"/>
      <c r="CE301" s="25"/>
      <c r="CF301" s="26"/>
      <c r="CG301" s="4"/>
      <c r="CH301" s="37"/>
      <c r="CI301" s="37"/>
    </row>
    <row r="302" spans="1:87" ht="15" customHeight="1" x14ac:dyDescent="0.25">
      <c r="A302" s="31"/>
      <c r="B302" s="31"/>
      <c r="C302" s="31"/>
      <c r="D302" s="4"/>
      <c r="E302" s="24"/>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c r="CB302" s="25"/>
      <c r="CC302" s="25"/>
      <c r="CD302" s="25"/>
      <c r="CE302" s="25"/>
      <c r="CF302" s="26"/>
      <c r="CG302" s="4"/>
      <c r="CH302" s="37"/>
      <c r="CI302" s="37"/>
    </row>
    <row r="303" spans="1:87" ht="15" customHeight="1" x14ac:dyDescent="0.25">
      <c r="A303" s="31"/>
      <c r="B303" s="31"/>
      <c r="C303" s="31"/>
      <c r="D303" s="4"/>
      <c r="E303" s="24"/>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c r="CB303" s="25"/>
      <c r="CC303" s="25"/>
      <c r="CD303" s="25"/>
      <c r="CE303" s="25"/>
      <c r="CF303" s="26"/>
      <c r="CG303" s="4"/>
      <c r="CH303" s="37"/>
      <c r="CI303" s="37"/>
    </row>
    <row r="304" spans="1:87" ht="15" customHeight="1" x14ac:dyDescent="0.25">
      <c r="A304" s="31"/>
      <c r="B304" s="31"/>
      <c r="C304" s="31"/>
      <c r="D304" s="4"/>
      <c r="E304" s="24"/>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c r="CB304" s="25"/>
      <c r="CC304" s="25"/>
      <c r="CD304" s="25"/>
      <c r="CE304" s="25"/>
      <c r="CF304" s="26"/>
      <c r="CG304" s="4"/>
      <c r="CH304" s="37"/>
      <c r="CI304" s="37"/>
    </row>
    <row r="305" spans="1:87" ht="15" customHeight="1" x14ac:dyDescent="0.25">
      <c r="A305" s="31"/>
      <c r="B305" s="31"/>
      <c r="C305" s="31"/>
      <c r="D305" s="4"/>
      <c r="E305" s="24"/>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c r="CB305" s="25"/>
      <c r="CC305" s="25"/>
      <c r="CD305" s="25"/>
      <c r="CE305" s="25"/>
      <c r="CF305" s="26"/>
      <c r="CG305" s="4"/>
      <c r="CH305" s="37"/>
      <c r="CI305" s="37"/>
    </row>
    <row r="306" spans="1:87" ht="15" customHeight="1" x14ac:dyDescent="0.25">
      <c r="A306" s="31"/>
      <c r="B306" s="31"/>
      <c r="C306" s="31"/>
      <c r="D306" s="4"/>
      <c r="E306" s="24"/>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c r="CB306" s="25"/>
      <c r="CC306" s="25"/>
      <c r="CD306" s="25"/>
      <c r="CE306" s="25"/>
      <c r="CF306" s="26"/>
      <c r="CG306" s="4"/>
      <c r="CH306" s="37"/>
      <c r="CI306" s="37"/>
    </row>
    <row r="307" spans="1:87" ht="15" customHeight="1" x14ac:dyDescent="0.25">
      <c r="A307" s="31"/>
      <c r="B307" s="31"/>
      <c r="C307" s="31"/>
      <c r="D307" s="4"/>
      <c r="E307" s="24"/>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c r="CB307" s="25"/>
      <c r="CC307" s="25"/>
      <c r="CD307" s="25"/>
      <c r="CE307" s="25"/>
      <c r="CF307" s="26"/>
      <c r="CG307" s="4"/>
      <c r="CH307" s="37"/>
      <c r="CI307" s="37"/>
    </row>
    <row r="308" spans="1:87" ht="15" customHeight="1" x14ac:dyDescent="0.25">
      <c r="A308" s="31"/>
      <c r="B308" s="31"/>
      <c r="C308" s="31"/>
      <c r="D308" s="4"/>
      <c r="E308" s="24"/>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c r="CB308" s="25"/>
      <c r="CC308" s="25"/>
      <c r="CD308" s="25"/>
      <c r="CE308" s="25"/>
      <c r="CF308" s="26"/>
      <c r="CG308" s="4"/>
      <c r="CH308" s="37"/>
      <c r="CI308" s="37"/>
    </row>
    <row r="309" spans="1:87" ht="15" customHeight="1" x14ac:dyDescent="0.25">
      <c r="A309" s="31"/>
      <c r="B309" s="31"/>
      <c r="C309" s="31"/>
      <c r="D309" s="4"/>
      <c r="E309" s="24"/>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c r="CB309" s="25"/>
      <c r="CC309" s="25"/>
      <c r="CD309" s="25"/>
      <c r="CE309" s="25"/>
      <c r="CF309" s="26"/>
      <c r="CG309" s="4"/>
      <c r="CH309" s="37"/>
      <c r="CI309" s="37"/>
    </row>
    <row r="310" spans="1:87" ht="15" customHeight="1" x14ac:dyDescent="0.25">
      <c r="A310" s="31"/>
      <c r="B310" s="31"/>
      <c r="C310" s="31"/>
      <c r="D310" s="4"/>
      <c r="E310" s="24"/>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c r="CB310" s="25"/>
      <c r="CC310" s="25"/>
      <c r="CD310" s="25"/>
      <c r="CE310" s="25"/>
      <c r="CF310" s="26"/>
      <c r="CG310" s="4"/>
      <c r="CH310" s="37"/>
      <c r="CI310" s="37"/>
    </row>
    <row r="311" spans="1:87" ht="15" customHeight="1" x14ac:dyDescent="0.25">
      <c r="A311" s="31"/>
      <c r="B311" s="31"/>
      <c r="C311" s="31"/>
      <c r="D311" s="4"/>
      <c r="E311" s="24"/>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c r="CB311" s="25"/>
      <c r="CC311" s="25"/>
      <c r="CD311" s="25"/>
      <c r="CE311" s="25"/>
      <c r="CF311" s="26"/>
      <c r="CG311" s="4"/>
      <c r="CH311" s="37"/>
      <c r="CI311" s="37"/>
    </row>
    <row r="312" spans="1:87" ht="15" customHeight="1" x14ac:dyDescent="0.25">
      <c r="A312" s="31"/>
      <c r="B312" s="31"/>
      <c r="C312" s="31"/>
      <c r="D312" s="4"/>
      <c r="E312" s="24"/>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c r="CB312" s="25"/>
      <c r="CC312" s="25"/>
      <c r="CD312" s="25"/>
      <c r="CE312" s="25"/>
      <c r="CF312" s="26"/>
      <c r="CG312" s="4"/>
      <c r="CH312" s="37"/>
      <c r="CI312" s="37"/>
    </row>
    <row r="313" spans="1:87" ht="15" customHeight="1" x14ac:dyDescent="0.25">
      <c r="A313" s="31"/>
      <c r="B313" s="31"/>
      <c r="C313" s="31"/>
      <c r="D313" s="4"/>
      <c r="E313" s="24"/>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c r="CF313" s="26"/>
      <c r="CG313" s="4"/>
      <c r="CH313" s="37"/>
      <c r="CI313" s="37"/>
    </row>
    <row r="314" spans="1:87" ht="15" customHeight="1" x14ac:dyDescent="0.25">
      <c r="A314" s="31"/>
      <c r="B314" s="31"/>
      <c r="C314" s="31"/>
      <c r="D314" s="4"/>
      <c r="E314" s="24"/>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c r="CB314" s="25"/>
      <c r="CC314" s="25"/>
      <c r="CD314" s="25"/>
      <c r="CE314" s="25"/>
      <c r="CF314" s="26"/>
      <c r="CG314" s="4"/>
      <c r="CH314" s="37"/>
      <c r="CI314" s="37"/>
    </row>
    <row r="315" spans="1:87" ht="15" customHeight="1" x14ac:dyDescent="0.25">
      <c r="A315" s="31"/>
      <c r="B315" s="31"/>
      <c r="C315" s="31"/>
      <c r="D315" s="4"/>
      <c r="E315" s="24"/>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c r="CB315" s="25"/>
      <c r="CC315" s="25"/>
      <c r="CD315" s="25"/>
      <c r="CE315" s="25"/>
      <c r="CF315" s="26"/>
      <c r="CG315" s="4"/>
      <c r="CH315" s="37"/>
      <c r="CI315" s="37"/>
    </row>
    <row r="316" spans="1:87" ht="15" customHeight="1" x14ac:dyDescent="0.25">
      <c r="A316" s="31"/>
      <c r="B316" s="31"/>
      <c r="C316" s="31"/>
      <c r="D316" s="4"/>
      <c r="E316" s="24"/>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c r="CB316" s="25"/>
      <c r="CC316" s="25"/>
      <c r="CD316" s="25"/>
      <c r="CE316" s="25"/>
      <c r="CF316" s="26"/>
      <c r="CG316" s="4"/>
      <c r="CH316" s="37"/>
      <c r="CI316" s="37"/>
    </row>
    <row r="317" spans="1:87" ht="15" customHeight="1" x14ac:dyDescent="0.25">
      <c r="A317" s="31"/>
      <c r="B317" s="31"/>
      <c r="C317" s="31"/>
      <c r="D317" s="4"/>
      <c r="E317" s="24"/>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c r="CB317" s="25"/>
      <c r="CC317" s="25"/>
      <c r="CD317" s="25"/>
      <c r="CE317" s="25"/>
      <c r="CF317" s="26"/>
      <c r="CG317" s="4"/>
      <c r="CH317" s="37"/>
      <c r="CI317" s="37"/>
    </row>
    <row r="318" spans="1:87" ht="15" customHeight="1" x14ac:dyDescent="0.25">
      <c r="A318" s="31"/>
      <c r="B318" s="31"/>
      <c r="C318" s="31"/>
      <c r="D318" s="4"/>
      <c r="E318" s="24"/>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c r="CB318" s="25"/>
      <c r="CC318" s="25"/>
      <c r="CD318" s="25"/>
      <c r="CE318" s="25"/>
      <c r="CF318" s="26"/>
      <c r="CG318" s="4"/>
      <c r="CH318" s="37"/>
      <c r="CI318" s="37"/>
    </row>
    <row r="319" spans="1:87" ht="15" customHeight="1" x14ac:dyDescent="0.25">
      <c r="A319" s="31"/>
      <c r="B319" s="31"/>
      <c r="C319" s="31"/>
      <c r="D319" s="4"/>
      <c r="E319" s="24"/>
      <c r="F319" s="25"/>
      <c r="G319" s="25"/>
      <c r="H319" s="25"/>
      <c r="I319" s="25"/>
      <c r="J319" s="25"/>
      <c r="K319" s="25"/>
      <c r="L319" s="25"/>
      <c r="M319" s="25"/>
      <c r="N319" s="25"/>
      <c r="O319" s="25"/>
      <c r="P319" s="25"/>
      <c r="Q319" s="25"/>
      <c r="R319" s="25"/>
      <c r="S319" s="25"/>
      <c r="T319" s="25"/>
      <c r="U319" s="25"/>
      <c r="V319" s="25"/>
      <c r="W319" s="25"/>
      <c r="X319" s="25" t="s">
        <v>8</v>
      </c>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t="s">
        <v>9</v>
      </c>
      <c r="BL319" s="25"/>
      <c r="BM319" s="25"/>
      <c r="BN319" s="25"/>
      <c r="BO319" s="25"/>
      <c r="BP319" s="25"/>
      <c r="BQ319" s="25"/>
      <c r="BR319" s="25"/>
      <c r="BS319" s="25"/>
      <c r="BT319" s="25"/>
      <c r="BU319" s="25"/>
      <c r="BV319" s="25"/>
      <c r="BW319" s="25"/>
      <c r="BX319" s="25"/>
      <c r="BY319" s="25"/>
      <c r="BZ319" s="25"/>
      <c r="CA319" s="25"/>
      <c r="CB319" s="25"/>
      <c r="CC319" s="25"/>
      <c r="CD319" s="25"/>
      <c r="CE319" s="25"/>
      <c r="CF319" s="26"/>
      <c r="CG319" s="4"/>
      <c r="CH319" s="37"/>
      <c r="CI319" s="37"/>
    </row>
    <row r="320" spans="1:87" ht="15" customHeight="1" x14ac:dyDescent="0.25">
      <c r="A320" s="31"/>
      <c r="B320" s="31"/>
      <c r="C320" s="31"/>
      <c r="D320" s="4"/>
      <c r="E320" s="24"/>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c r="CB320" s="25"/>
      <c r="CC320" s="25"/>
      <c r="CD320" s="25"/>
      <c r="CE320" s="25"/>
      <c r="CF320" s="26"/>
      <c r="CG320" s="4"/>
      <c r="CH320" s="37"/>
      <c r="CI320" s="37"/>
    </row>
    <row r="321" spans="1:87" ht="15" customHeight="1" x14ac:dyDescent="0.25">
      <c r="A321" s="31"/>
      <c r="B321" s="31"/>
      <c r="C321" s="31"/>
      <c r="D321" s="4"/>
      <c r="E321" s="24"/>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c r="CB321" s="25"/>
      <c r="CC321" s="25"/>
      <c r="CD321" s="25"/>
      <c r="CE321" s="25"/>
      <c r="CF321" s="26"/>
      <c r="CG321" s="4"/>
      <c r="CH321" s="37"/>
      <c r="CI321" s="37"/>
    </row>
    <row r="322" spans="1:87" ht="15" customHeight="1" x14ac:dyDescent="0.25">
      <c r="A322" s="31"/>
      <c r="B322" s="31"/>
      <c r="C322" s="31"/>
      <c r="D322" s="4"/>
      <c r="E322" s="24"/>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c r="CB322" s="25"/>
      <c r="CC322" s="25"/>
      <c r="CD322" s="25"/>
      <c r="CE322" s="25"/>
      <c r="CF322" s="26"/>
      <c r="CG322" s="4"/>
      <c r="CH322" s="37"/>
      <c r="CI322" s="37"/>
    </row>
    <row r="323" spans="1:87" ht="15" customHeight="1" x14ac:dyDescent="0.25">
      <c r="A323" s="31"/>
      <c r="B323" s="31"/>
      <c r="C323" s="31"/>
      <c r="D323" s="4"/>
      <c r="E323" s="24"/>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c r="CB323" s="25"/>
      <c r="CC323" s="25"/>
      <c r="CD323" s="25"/>
      <c r="CE323" s="25"/>
      <c r="CF323" s="26"/>
      <c r="CG323" s="4"/>
      <c r="CH323" s="37"/>
      <c r="CI323" s="37"/>
    </row>
    <row r="324" spans="1:87" ht="15" customHeight="1" x14ac:dyDescent="0.25">
      <c r="A324" s="31"/>
      <c r="B324" s="31"/>
      <c r="C324" s="31"/>
      <c r="D324" s="4"/>
      <c r="E324" s="24"/>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c r="CB324" s="25"/>
      <c r="CC324" s="25"/>
      <c r="CD324" s="25"/>
      <c r="CE324" s="25"/>
      <c r="CF324" s="26"/>
      <c r="CG324" s="4"/>
      <c r="CH324" s="37"/>
      <c r="CI324" s="37"/>
    </row>
    <row r="325" spans="1:87" ht="15" customHeight="1" x14ac:dyDescent="0.25">
      <c r="A325" s="31"/>
      <c r="B325" s="31"/>
      <c r="C325" s="31"/>
      <c r="D325" s="4"/>
      <c r="E325" s="24"/>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c r="CB325" s="25"/>
      <c r="CC325" s="25"/>
      <c r="CD325" s="25"/>
      <c r="CE325" s="25"/>
      <c r="CF325" s="26"/>
      <c r="CG325" s="4"/>
      <c r="CH325" s="37"/>
      <c r="CI325" s="37"/>
    </row>
    <row r="326" spans="1:87" ht="15" customHeight="1" x14ac:dyDescent="0.25">
      <c r="A326" s="31"/>
      <c r="B326" s="31"/>
      <c r="C326" s="31"/>
      <c r="D326" s="4"/>
      <c r="E326" s="24"/>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c r="CB326" s="25"/>
      <c r="CC326" s="25"/>
      <c r="CD326" s="25"/>
      <c r="CE326" s="25"/>
      <c r="CF326" s="26"/>
      <c r="CG326" s="4"/>
      <c r="CH326" s="37"/>
      <c r="CI326" s="37"/>
    </row>
    <row r="327" spans="1:87" ht="15" customHeight="1" x14ac:dyDescent="0.25">
      <c r="A327" s="31"/>
      <c r="B327" s="31"/>
      <c r="C327" s="31"/>
      <c r="D327" s="4"/>
      <c r="E327" s="24"/>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c r="CB327" s="25"/>
      <c r="CC327" s="25"/>
      <c r="CD327" s="25"/>
      <c r="CE327" s="25"/>
      <c r="CF327" s="26"/>
      <c r="CG327" s="4"/>
      <c r="CH327" s="37"/>
      <c r="CI327" s="37"/>
    </row>
    <row r="328" spans="1:87" ht="15" customHeight="1" x14ac:dyDescent="0.25">
      <c r="A328" s="31"/>
      <c r="B328" s="31"/>
      <c r="C328" s="31"/>
      <c r="D328" s="4"/>
      <c r="E328" s="24"/>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c r="CB328" s="25"/>
      <c r="CC328" s="25"/>
      <c r="CD328" s="25"/>
      <c r="CE328" s="25"/>
      <c r="CF328" s="26"/>
      <c r="CG328" s="4"/>
      <c r="CH328" s="37"/>
      <c r="CI328" s="37"/>
    </row>
    <row r="329" spans="1:87" ht="15" customHeight="1" x14ac:dyDescent="0.25">
      <c r="A329" s="31"/>
      <c r="B329" s="31"/>
      <c r="C329" s="31"/>
      <c r="D329" s="4"/>
      <c r="E329" s="24"/>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c r="CB329" s="25"/>
      <c r="CC329" s="25"/>
      <c r="CD329" s="25"/>
      <c r="CE329" s="25"/>
      <c r="CF329" s="26"/>
      <c r="CG329" s="4"/>
      <c r="CH329" s="37"/>
      <c r="CI329" s="37"/>
    </row>
    <row r="330" spans="1:87" ht="15" customHeight="1" x14ac:dyDescent="0.25">
      <c r="A330" s="31"/>
      <c r="B330" s="31"/>
      <c r="C330" s="31"/>
      <c r="D330" s="4"/>
      <c r="E330" s="24"/>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c r="CB330" s="25"/>
      <c r="CC330" s="25"/>
      <c r="CD330" s="25"/>
      <c r="CE330" s="25"/>
      <c r="CF330" s="26"/>
      <c r="CG330" s="4"/>
      <c r="CH330" s="37"/>
      <c r="CI330" s="37"/>
    </row>
    <row r="331" spans="1:87" ht="15" customHeight="1" x14ac:dyDescent="0.25">
      <c r="A331" s="31"/>
      <c r="B331" s="31"/>
      <c r="C331" s="31"/>
      <c r="D331" s="4"/>
      <c r="E331" s="24"/>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c r="CB331" s="25"/>
      <c r="CC331" s="25"/>
      <c r="CD331" s="25"/>
      <c r="CE331" s="25"/>
      <c r="CF331" s="26"/>
      <c r="CG331" s="4"/>
      <c r="CH331" s="37"/>
      <c r="CI331" s="37"/>
    </row>
    <row r="332" spans="1:87" ht="15" customHeight="1" x14ac:dyDescent="0.25">
      <c r="A332" s="31"/>
      <c r="B332" s="31"/>
      <c r="C332" s="31"/>
      <c r="D332" s="4"/>
      <c r="E332" s="24"/>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c r="CB332" s="25"/>
      <c r="CC332" s="25"/>
      <c r="CD332" s="25"/>
      <c r="CE332" s="25"/>
      <c r="CF332" s="26"/>
      <c r="CG332" s="4"/>
      <c r="CH332" s="37"/>
      <c r="CI332" s="37"/>
    </row>
    <row r="333" spans="1:87" ht="15" customHeight="1" x14ac:dyDescent="0.25">
      <c r="A333" s="31"/>
      <c r="B333" s="31"/>
      <c r="C333" s="31"/>
      <c r="D333" s="4"/>
      <c r="E333" s="24"/>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c r="CB333" s="25"/>
      <c r="CC333" s="25"/>
      <c r="CD333" s="25"/>
      <c r="CE333" s="25"/>
      <c r="CF333" s="26"/>
      <c r="CG333" s="4"/>
      <c r="CH333" s="37"/>
      <c r="CI333" s="37"/>
    </row>
    <row r="334" spans="1:87" ht="15" customHeight="1" x14ac:dyDescent="0.25">
      <c r="A334" s="31"/>
      <c r="B334" s="31"/>
      <c r="C334" s="31"/>
      <c r="D334" s="4"/>
      <c r="E334" s="24"/>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c r="CB334" s="25"/>
      <c r="CC334" s="25"/>
      <c r="CD334" s="25"/>
      <c r="CE334" s="25"/>
      <c r="CF334" s="26"/>
      <c r="CG334" s="4"/>
      <c r="CH334" s="37"/>
      <c r="CI334" s="37"/>
    </row>
    <row r="335" spans="1:87" ht="15" customHeight="1" x14ac:dyDescent="0.25">
      <c r="A335" s="31"/>
      <c r="B335" s="31"/>
      <c r="C335" s="31"/>
      <c r="D335" s="4"/>
      <c r="E335" s="24"/>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c r="CB335" s="25"/>
      <c r="CC335" s="25"/>
      <c r="CD335" s="25"/>
      <c r="CE335" s="25"/>
      <c r="CF335" s="26"/>
      <c r="CG335" s="4"/>
      <c r="CH335" s="37"/>
      <c r="CI335" s="37"/>
    </row>
    <row r="336" spans="1:87" ht="15" customHeight="1" x14ac:dyDescent="0.25">
      <c r="A336" s="31"/>
      <c r="B336" s="31"/>
      <c r="C336" s="31"/>
      <c r="D336" s="4"/>
      <c r="E336" s="24"/>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c r="CB336" s="25"/>
      <c r="CC336" s="25"/>
      <c r="CD336" s="25"/>
      <c r="CE336" s="25"/>
      <c r="CF336" s="26"/>
      <c r="CG336" s="4"/>
      <c r="CH336" s="37"/>
      <c r="CI336" s="37"/>
    </row>
    <row r="337" spans="1:87" ht="15" customHeight="1" x14ac:dyDescent="0.25">
      <c r="A337" s="31"/>
      <c r="B337" s="31"/>
      <c r="C337" s="31"/>
      <c r="D337" s="4"/>
      <c r="E337" s="24"/>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c r="CB337" s="25"/>
      <c r="CC337" s="25"/>
      <c r="CD337" s="25"/>
      <c r="CE337" s="25"/>
      <c r="CF337" s="26"/>
      <c r="CG337" s="4"/>
      <c r="CH337" s="37"/>
      <c r="CI337" s="37"/>
    </row>
    <row r="338" spans="1:87" ht="15" customHeight="1" x14ac:dyDescent="0.25">
      <c r="A338" s="31"/>
      <c r="B338" s="31"/>
      <c r="C338" s="31"/>
      <c r="D338" s="4"/>
      <c r="E338" s="24"/>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c r="CB338" s="25"/>
      <c r="CC338" s="25"/>
      <c r="CD338" s="25"/>
      <c r="CE338" s="25"/>
      <c r="CF338" s="26"/>
      <c r="CG338" s="4"/>
      <c r="CH338" s="37"/>
      <c r="CI338" s="37"/>
    </row>
    <row r="339" spans="1:87" ht="15" customHeight="1" x14ac:dyDescent="0.25">
      <c r="A339" s="31"/>
      <c r="B339" s="31"/>
      <c r="C339" s="31"/>
      <c r="D339" s="4"/>
      <c r="E339" s="24"/>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c r="CB339" s="25"/>
      <c r="CC339" s="25"/>
      <c r="CD339" s="25"/>
      <c r="CE339" s="25"/>
      <c r="CF339" s="26"/>
      <c r="CG339" s="4"/>
      <c r="CH339" s="37"/>
      <c r="CI339" s="37"/>
    </row>
    <row r="340" spans="1:87" ht="15" customHeight="1" x14ac:dyDescent="0.25">
      <c r="A340" s="31"/>
      <c r="B340" s="31"/>
      <c r="C340" s="31"/>
      <c r="D340" s="4"/>
      <c r="E340" s="24"/>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c r="CB340" s="25"/>
      <c r="CC340" s="25"/>
      <c r="CD340" s="25"/>
      <c r="CE340" s="25"/>
      <c r="CF340" s="26"/>
      <c r="CG340" s="4"/>
      <c r="CH340" s="37"/>
      <c r="CI340" s="37"/>
    </row>
    <row r="341" spans="1:87" ht="15" customHeight="1" x14ac:dyDescent="0.25">
      <c r="A341" s="31"/>
      <c r="B341" s="31"/>
      <c r="C341" s="31"/>
      <c r="D341" s="4"/>
      <c r="E341" s="24"/>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c r="CB341" s="25"/>
      <c r="CC341" s="25"/>
      <c r="CD341" s="25"/>
      <c r="CE341" s="25"/>
      <c r="CF341" s="26"/>
      <c r="CG341" s="4"/>
      <c r="CH341" s="37"/>
      <c r="CI341" s="37"/>
    </row>
    <row r="342" spans="1:87" ht="15" customHeight="1" x14ac:dyDescent="0.25">
      <c r="A342" s="31"/>
      <c r="B342" s="31"/>
      <c r="C342" s="31"/>
      <c r="D342" s="4"/>
      <c r="E342" s="24"/>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c r="CB342" s="25"/>
      <c r="CC342" s="25"/>
      <c r="CD342" s="25"/>
      <c r="CE342" s="25"/>
      <c r="CF342" s="26"/>
      <c r="CG342" s="4"/>
      <c r="CH342" s="37"/>
      <c r="CI342" s="37"/>
    </row>
    <row r="343" spans="1:87" ht="15" customHeight="1" x14ac:dyDescent="0.25">
      <c r="A343" s="31"/>
      <c r="B343" s="31"/>
      <c r="C343" s="31"/>
      <c r="D343" s="4"/>
      <c r="E343" s="24"/>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c r="CB343" s="25"/>
      <c r="CC343" s="25"/>
      <c r="CD343" s="25"/>
      <c r="CE343" s="25"/>
      <c r="CF343" s="26"/>
      <c r="CG343" s="4"/>
      <c r="CH343" s="37"/>
      <c r="CI343" s="37"/>
    </row>
    <row r="344" spans="1:87" ht="15" customHeight="1" x14ac:dyDescent="0.25">
      <c r="A344" s="31"/>
      <c r="B344" s="31"/>
      <c r="C344" s="31"/>
      <c r="D344" s="4"/>
      <c r="E344" s="24"/>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c r="CB344" s="25"/>
      <c r="CC344" s="25"/>
      <c r="CD344" s="25"/>
      <c r="CE344" s="25"/>
      <c r="CF344" s="26"/>
      <c r="CG344" s="4"/>
      <c r="CH344" s="37"/>
      <c r="CI344" s="37"/>
    </row>
    <row r="345" spans="1:87" ht="15" customHeight="1" x14ac:dyDescent="0.25">
      <c r="A345" s="31"/>
      <c r="B345" s="31"/>
      <c r="C345" s="31"/>
      <c r="D345" s="4"/>
      <c r="E345" s="24"/>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c r="CB345" s="25"/>
      <c r="CC345" s="25"/>
      <c r="CD345" s="25"/>
      <c r="CE345" s="25"/>
      <c r="CF345" s="26"/>
      <c r="CG345" s="4"/>
      <c r="CH345" s="37"/>
      <c r="CI345" s="37"/>
    </row>
    <row r="346" spans="1:87" ht="15" customHeight="1" x14ac:dyDescent="0.25">
      <c r="A346" s="31"/>
      <c r="B346" s="31"/>
      <c r="C346" s="31"/>
      <c r="D346" s="4"/>
      <c r="E346" s="24"/>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c r="CB346" s="25"/>
      <c r="CC346" s="25"/>
      <c r="CD346" s="25"/>
      <c r="CE346" s="25"/>
      <c r="CF346" s="26"/>
      <c r="CG346" s="4"/>
      <c r="CH346" s="37"/>
      <c r="CI346" s="37"/>
    </row>
    <row r="347" spans="1:87" ht="15" customHeight="1" x14ac:dyDescent="0.25">
      <c r="A347" s="31"/>
      <c r="B347" s="31"/>
      <c r="C347" s="31"/>
      <c r="D347" s="4"/>
      <c r="E347" s="24"/>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c r="CB347" s="25"/>
      <c r="CC347" s="25"/>
      <c r="CD347" s="25"/>
      <c r="CE347" s="25"/>
      <c r="CF347" s="26"/>
      <c r="CG347" s="4"/>
      <c r="CH347" s="37"/>
      <c r="CI347" s="37"/>
    </row>
    <row r="348" spans="1:87" ht="15" customHeight="1" x14ac:dyDescent="0.25">
      <c r="A348" s="31"/>
      <c r="B348" s="31"/>
      <c r="C348" s="31"/>
      <c r="D348" s="4"/>
      <c r="E348" s="24"/>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c r="CB348" s="25"/>
      <c r="CC348" s="25"/>
      <c r="CD348" s="25"/>
      <c r="CE348" s="25"/>
      <c r="CF348" s="26"/>
      <c r="CG348" s="4"/>
      <c r="CH348" s="37"/>
      <c r="CI348" s="37"/>
    </row>
    <row r="349" spans="1:87" ht="15" customHeight="1" x14ac:dyDescent="0.25">
      <c r="A349" s="31"/>
      <c r="B349" s="31"/>
      <c r="C349" s="31"/>
      <c r="D349" s="4"/>
      <c r="E349" s="24"/>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c r="CB349" s="25"/>
      <c r="CC349" s="25"/>
      <c r="CD349" s="25"/>
      <c r="CE349" s="25"/>
      <c r="CF349" s="26"/>
      <c r="CG349" s="4"/>
      <c r="CH349" s="37"/>
      <c r="CI349" s="37"/>
    </row>
    <row r="350" spans="1:87" ht="15" customHeight="1" x14ac:dyDescent="0.25">
      <c r="A350" s="31"/>
      <c r="B350" s="31"/>
      <c r="C350" s="31"/>
      <c r="D350" s="4"/>
      <c r="E350" s="24"/>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c r="CB350" s="25"/>
      <c r="CC350" s="25"/>
      <c r="CD350" s="25"/>
      <c r="CE350" s="25"/>
      <c r="CF350" s="26"/>
      <c r="CG350" s="4"/>
      <c r="CH350" s="37"/>
      <c r="CI350" s="37"/>
    </row>
    <row r="351" spans="1:87" ht="15" customHeight="1" x14ac:dyDescent="0.25">
      <c r="A351" s="31"/>
      <c r="B351" s="31"/>
      <c r="C351" s="31"/>
      <c r="D351" s="4"/>
      <c r="E351" s="24"/>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c r="CB351" s="25"/>
      <c r="CC351" s="25"/>
      <c r="CD351" s="25"/>
      <c r="CE351" s="25"/>
      <c r="CF351" s="26"/>
      <c r="CG351" s="4"/>
      <c r="CH351" s="37"/>
      <c r="CI351" s="37"/>
    </row>
    <row r="352" spans="1:87" ht="15" customHeight="1" x14ac:dyDescent="0.25">
      <c r="A352" s="31"/>
      <c r="B352" s="31"/>
      <c r="C352" s="31"/>
      <c r="D352" s="4"/>
      <c r="E352" s="24"/>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c r="CB352" s="25"/>
      <c r="CC352" s="25"/>
      <c r="CD352" s="25"/>
      <c r="CE352" s="25"/>
      <c r="CF352" s="26"/>
      <c r="CG352" s="4"/>
      <c r="CH352" s="37"/>
      <c r="CI352" s="37"/>
    </row>
    <row r="353" spans="1:87" ht="15" customHeight="1" x14ac:dyDescent="0.25">
      <c r="A353" s="31"/>
      <c r="B353" s="31"/>
      <c r="C353" s="31"/>
      <c r="D353" s="4"/>
      <c r="E353" s="24"/>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c r="CB353" s="25"/>
      <c r="CC353" s="25"/>
      <c r="CD353" s="25"/>
      <c r="CE353" s="25"/>
      <c r="CF353" s="26"/>
      <c r="CG353" s="4"/>
      <c r="CH353" s="37"/>
      <c r="CI353" s="37"/>
    </row>
    <row r="354" spans="1:87" ht="15" customHeight="1" x14ac:dyDescent="0.25">
      <c r="A354" s="31"/>
      <c r="B354" s="31"/>
      <c r="C354" s="31"/>
      <c r="D354" s="4"/>
      <c r="E354" s="24"/>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c r="CB354" s="25"/>
      <c r="CC354" s="25"/>
      <c r="CD354" s="25"/>
      <c r="CE354" s="25"/>
      <c r="CF354" s="26"/>
      <c r="CG354" s="4"/>
      <c r="CH354" s="37"/>
      <c r="CI354" s="37"/>
    </row>
    <row r="355" spans="1:87" ht="15" customHeight="1" x14ac:dyDescent="0.25">
      <c r="A355" s="31"/>
      <c r="B355" s="31"/>
      <c r="C355" s="31"/>
      <c r="D355" s="4"/>
      <c r="E355" s="24"/>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c r="CB355" s="25"/>
      <c r="CC355" s="25"/>
      <c r="CD355" s="25"/>
      <c r="CE355" s="25"/>
      <c r="CF355" s="26"/>
      <c r="CG355" s="4"/>
      <c r="CH355" s="37"/>
      <c r="CI355" s="37"/>
    </row>
    <row r="356" spans="1:87" ht="15" customHeight="1" x14ac:dyDescent="0.25">
      <c r="A356" s="31"/>
      <c r="B356" s="31"/>
      <c r="C356" s="31"/>
      <c r="D356" s="4"/>
      <c r="E356" s="24"/>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c r="CF356" s="26"/>
      <c r="CG356" s="4"/>
      <c r="CH356" s="37"/>
      <c r="CI356" s="37"/>
    </row>
    <row r="357" spans="1:87" ht="15" customHeight="1" x14ac:dyDescent="0.25">
      <c r="A357" s="31"/>
      <c r="B357" s="31"/>
      <c r="C357" s="31"/>
      <c r="D357" s="4"/>
      <c r="E357" s="24"/>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c r="CF357" s="26"/>
      <c r="CG357" s="4"/>
      <c r="CH357" s="37"/>
      <c r="CI357" s="37"/>
    </row>
    <row r="358" spans="1:87" ht="15" customHeight="1" x14ac:dyDescent="0.25">
      <c r="A358" s="31"/>
      <c r="B358" s="31"/>
      <c r="C358" s="31"/>
      <c r="D358" s="4"/>
      <c r="E358" s="24"/>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c r="CF358" s="26"/>
      <c r="CG358" s="4"/>
      <c r="CH358" s="37"/>
      <c r="CI358" s="37"/>
    </row>
    <row r="359" spans="1:87" ht="15" customHeight="1" x14ac:dyDescent="0.25">
      <c r="A359" s="31"/>
      <c r="B359" s="31"/>
      <c r="C359" s="31"/>
      <c r="D359" s="4"/>
      <c r="E359" s="24"/>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c r="CF359" s="26"/>
      <c r="CG359" s="4"/>
      <c r="CH359" s="37"/>
      <c r="CI359" s="37"/>
    </row>
    <row r="360" spans="1:87" ht="15" customHeight="1" x14ac:dyDescent="0.25">
      <c r="A360" s="31"/>
      <c r="B360" s="31"/>
      <c r="C360" s="31"/>
      <c r="D360" s="4"/>
      <c r="E360" s="24"/>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c r="CF360" s="26"/>
      <c r="CG360" s="4"/>
      <c r="CH360" s="37"/>
      <c r="CI360" s="37"/>
    </row>
    <row r="361" spans="1:87" ht="15" customHeight="1" x14ac:dyDescent="0.25">
      <c r="A361" s="31"/>
      <c r="B361" s="31"/>
      <c r="C361" s="31"/>
      <c r="D361" s="4"/>
      <c r="E361" s="24"/>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c r="CF361" s="26"/>
      <c r="CG361" s="4"/>
      <c r="CH361" s="37"/>
      <c r="CI361" s="37"/>
    </row>
    <row r="362" spans="1:87" ht="15" customHeight="1" x14ac:dyDescent="0.25">
      <c r="A362" s="31"/>
      <c r="B362" s="31"/>
      <c r="C362" s="31"/>
      <c r="D362" s="4"/>
      <c r="E362" s="24"/>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c r="CF362" s="26"/>
      <c r="CG362" s="4"/>
      <c r="CH362" s="37"/>
      <c r="CI362" s="37"/>
    </row>
    <row r="363" spans="1:87" ht="15" customHeight="1" x14ac:dyDescent="0.25">
      <c r="A363" s="31"/>
      <c r="B363" s="31"/>
      <c r="C363" s="31"/>
      <c r="D363" s="4"/>
      <c r="E363" s="24"/>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c r="CF363" s="26"/>
      <c r="CG363" s="4"/>
      <c r="CH363" s="37"/>
      <c r="CI363" s="37"/>
    </row>
    <row r="364" spans="1:87" ht="15" customHeight="1" x14ac:dyDescent="0.25">
      <c r="A364" s="31"/>
      <c r="B364" s="31"/>
      <c r="C364" s="31"/>
      <c r="D364" s="4"/>
      <c r="E364" s="24"/>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c r="CF364" s="26"/>
      <c r="CG364" s="4"/>
      <c r="CH364" s="37"/>
      <c r="CI364" s="37"/>
    </row>
    <row r="365" spans="1:87" ht="15" customHeight="1" x14ac:dyDescent="0.25">
      <c r="A365" s="31"/>
      <c r="B365" s="31"/>
      <c r="C365" s="31"/>
      <c r="D365" s="4"/>
      <c r="E365" s="24"/>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c r="CF365" s="26"/>
      <c r="CG365" s="4"/>
      <c r="CH365" s="37"/>
      <c r="CI365" s="37"/>
    </row>
    <row r="366" spans="1:87" ht="15" customHeight="1" x14ac:dyDescent="0.25">
      <c r="A366" s="31"/>
      <c r="B366" s="31"/>
      <c r="C366" s="31"/>
      <c r="D366" s="4"/>
      <c r="E366" s="24"/>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c r="CF366" s="26"/>
      <c r="CG366" s="4"/>
      <c r="CH366" s="37"/>
      <c r="CI366" s="37"/>
    </row>
    <row r="367" spans="1:87" ht="15" customHeight="1" x14ac:dyDescent="0.25">
      <c r="A367" s="31"/>
      <c r="B367" s="31"/>
      <c r="C367" s="31"/>
      <c r="D367" s="4"/>
      <c r="E367" s="24"/>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c r="CF367" s="26"/>
      <c r="CG367" s="4"/>
      <c r="CH367" s="37"/>
      <c r="CI367" s="37"/>
    </row>
    <row r="368" spans="1:87" ht="15" customHeight="1" x14ac:dyDescent="0.25">
      <c r="A368" s="31"/>
      <c r="B368" s="31"/>
      <c r="C368" s="31"/>
      <c r="D368" s="4"/>
      <c r="E368" s="24"/>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c r="CF368" s="26"/>
      <c r="CG368" s="4"/>
      <c r="CH368" s="37"/>
      <c r="CI368" s="37"/>
    </row>
    <row r="369" spans="1:87" ht="15" customHeight="1" x14ac:dyDescent="0.25">
      <c r="A369" s="31"/>
      <c r="B369" s="31"/>
      <c r="C369" s="31"/>
      <c r="D369" s="4"/>
      <c r="E369" s="24"/>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c r="CF369" s="26"/>
      <c r="CG369" s="4"/>
      <c r="CH369" s="37"/>
      <c r="CI369" s="37"/>
    </row>
    <row r="370" spans="1:87" ht="15" customHeight="1" x14ac:dyDescent="0.25">
      <c r="A370" s="31"/>
      <c r="B370" s="31"/>
      <c r="C370" s="31"/>
      <c r="D370" s="4"/>
      <c r="E370" s="24"/>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c r="CF370" s="26"/>
      <c r="CG370" s="4"/>
      <c r="CH370" s="37"/>
      <c r="CI370" s="37"/>
    </row>
    <row r="371" spans="1:87" ht="15" customHeight="1" x14ac:dyDescent="0.25">
      <c r="A371" s="31"/>
      <c r="B371" s="31"/>
      <c r="C371" s="31"/>
      <c r="D371" s="4"/>
      <c r="E371" s="24"/>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c r="CF371" s="26"/>
      <c r="CG371" s="4"/>
      <c r="CH371" s="37"/>
      <c r="CI371" s="37"/>
    </row>
    <row r="372" spans="1:87" ht="15" customHeight="1" x14ac:dyDescent="0.25">
      <c r="A372" s="31"/>
      <c r="B372" s="31"/>
      <c r="C372" s="31"/>
      <c r="D372" s="4"/>
      <c r="E372" s="24"/>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6"/>
      <c r="CG372" s="4"/>
      <c r="CH372" s="37"/>
      <c r="CI372" s="37"/>
    </row>
    <row r="373" spans="1:87" ht="15" customHeight="1" x14ac:dyDescent="0.25">
      <c r="A373" s="31"/>
      <c r="B373" s="31"/>
      <c r="C373" s="31"/>
      <c r="D373" s="4"/>
      <c r="E373" s="24"/>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6"/>
      <c r="CG373" s="4"/>
      <c r="CH373" s="37"/>
      <c r="CI373" s="37"/>
    </row>
    <row r="374" spans="1:87" ht="15" customHeight="1" x14ac:dyDescent="0.25">
      <c r="A374" s="31"/>
      <c r="B374" s="31"/>
      <c r="C374" s="31"/>
      <c r="D374" s="4"/>
      <c r="E374" s="24"/>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6"/>
      <c r="CG374" s="4"/>
      <c r="CH374" s="37"/>
      <c r="CI374" s="37"/>
    </row>
    <row r="375" spans="1:87" ht="15" customHeight="1" x14ac:dyDescent="0.25">
      <c r="A375" s="31"/>
      <c r="B375" s="31"/>
      <c r="C375" s="31"/>
      <c r="D375" s="4"/>
      <c r="E375" s="24"/>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6"/>
      <c r="CG375" s="4"/>
      <c r="CH375" s="37"/>
      <c r="CI375" s="37"/>
    </row>
    <row r="376" spans="1:87" ht="15" customHeight="1" x14ac:dyDescent="0.25">
      <c r="A376" s="31"/>
      <c r="B376" s="31"/>
      <c r="C376" s="31"/>
      <c r="D376" s="4"/>
      <c r="E376" s="24"/>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6"/>
      <c r="CG376" s="4"/>
      <c r="CH376" s="37"/>
      <c r="CI376" s="37"/>
    </row>
    <row r="377" spans="1:87" ht="15" customHeight="1" x14ac:dyDescent="0.25">
      <c r="A377" s="31"/>
      <c r="B377" s="31"/>
      <c r="C377" s="31"/>
      <c r="D377" s="4"/>
      <c r="E377" s="24"/>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6"/>
      <c r="CG377" s="4"/>
      <c r="CH377" s="37"/>
      <c r="CI377" s="37"/>
    </row>
    <row r="378" spans="1:87" ht="15" customHeight="1" x14ac:dyDescent="0.25">
      <c r="A378" s="31"/>
      <c r="B378" s="31"/>
      <c r="C378" s="31"/>
      <c r="D378" s="4"/>
      <c r="E378" s="24"/>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6"/>
      <c r="CG378" s="4"/>
      <c r="CH378" s="37"/>
      <c r="CI378" s="37"/>
    </row>
    <row r="379" spans="1:87" ht="15" customHeight="1" x14ac:dyDescent="0.25">
      <c r="A379" s="31"/>
      <c r="B379" s="31"/>
      <c r="C379" s="31"/>
      <c r="D379" s="4"/>
      <c r="E379" s="24"/>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6"/>
      <c r="CG379" s="4"/>
      <c r="CH379" s="37"/>
      <c r="CI379" s="37"/>
    </row>
    <row r="380" spans="1:87" ht="15" customHeight="1" x14ac:dyDescent="0.25">
      <c r="A380" s="31"/>
      <c r="B380" s="31"/>
      <c r="C380" s="31"/>
      <c r="D380" s="4"/>
      <c r="E380" s="24"/>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6"/>
      <c r="CG380" s="4"/>
      <c r="CH380" s="37"/>
      <c r="CI380" s="37"/>
    </row>
    <row r="381" spans="1:87" ht="15" customHeight="1" x14ac:dyDescent="0.25">
      <c r="A381" s="31"/>
      <c r="B381" s="31"/>
      <c r="C381" s="31"/>
      <c r="D381" s="4"/>
      <c r="E381" s="24"/>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6"/>
      <c r="CG381" s="4"/>
      <c r="CH381" s="37"/>
      <c r="CI381" s="37"/>
    </row>
    <row r="382" spans="1:87" ht="15" customHeight="1" x14ac:dyDescent="0.25">
      <c r="A382" s="31"/>
      <c r="B382" s="31"/>
      <c r="C382" s="31"/>
      <c r="D382" s="4"/>
      <c r="E382" s="24"/>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6"/>
      <c r="CG382" s="4"/>
      <c r="CH382" s="37"/>
      <c r="CI382" s="37"/>
    </row>
    <row r="383" spans="1:87" ht="15" customHeight="1" x14ac:dyDescent="0.25">
      <c r="A383" s="31"/>
      <c r="B383" s="31"/>
      <c r="C383" s="31"/>
      <c r="D383" s="4"/>
      <c r="E383" s="24"/>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6"/>
      <c r="CG383" s="4"/>
      <c r="CH383" s="37"/>
      <c r="CI383" s="37"/>
    </row>
    <row r="384" spans="1:87" ht="15" customHeight="1" x14ac:dyDescent="0.25">
      <c r="A384" s="31"/>
      <c r="B384" s="31"/>
      <c r="C384" s="31"/>
      <c r="D384" s="4"/>
      <c r="E384" s="24"/>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c r="CF384" s="26"/>
      <c r="CG384" s="4"/>
      <c r="CH384" s="37"/>
      <c r="CI384" s="37"/>
    </row>
    <row r="385" spans="1:87" ht="15" customHeight="1" x14ac:dyDescent="0.25">
      <c r="A385" s="31"/>
      <c r="B385" s="31"/>
      <c r="C385" s="31"/>
      <c r="D385" s="4"/>
      <c r="E385" s="24"/>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c r="CF385" s="26"/>
      <c r="CG385" s="4"/>
      <c r="CH385" s="37"/>
      <c r="CI385" s="37"/>
    </row>
    <row r="386" spans="1:87" ht="15" customHeight="1" x14ac:dyDescent="0.25">
      <c r="A386" s="31"/>
      <c r="B386" s="31"/>
      <c r="C386" s="31"/>
      <c r="D386" s="4"/>
      <c r="E386" s="24"/>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c r="CF386" s="26"/>
      <c r="CG386" s="4"/>
      <c r="CH386" s="37"/>
      <c r="CI386" s="37"/>
    </row>
    <row r="387" spans="1:87" ht="15" customHeight="1" x14ac:dyDescent="0.25">
      <c r="A387" s="31"/>
      <c r="B387" s="31"/>
      <c r="C387" s="31"/>
      <c r="D387" s="4"/>
      <c r="E387" s="24"/>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c r="CF387" s="26"/>
      <c r="CG387" s="4"/>
      <c r="CH387" s="37"/>
      <c r="CI387" s="37"/>
    </row>
    <row r="388" spans="1:87" ht="15" customHeight="1" x14ac:dyDescent="0.25">
      <c r="A388" s="31"/>
      <c r="B388" s="31"/>
      <c r="C388" s="31"/>
      <c r="D388" s="4"/>
      <c r="E388" s="24"/>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c r="CF388" s="26"/>
      <c r="CG388" s="4"/>
      <c r="CH388" s="37"/>
      <c r="CI388" s="37"/>
    </row>
    <row r="389" spans="1:87" ht="15" customHeight="1" x14ac:dyDescent="0.25">
      <c r="A389" s="31"/>
      <c r="B389" s="31"/>
      <c r="C389" s="31"/>
      <c r="D389" s="4"/>
      <c r="E389" s="24"/>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c r="CF389" s="26"/>
      <c r="CG389" s="4"/>
      <c r="CH389" s="37"/>
      <c r="CI389" s="37"/>
    </row>
    <row r="390" spans="1:87" ht="15" customHeight="1" x14ac:dyDescent="0.25">
      <c r="A390" s="31"/>
      <c r="B390" s="31"/>
      <c r="C390" s="31"/>
      <c r="D390" s="4"/>
      <c r="E390" s="24"/>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c r="CF390" s="26"/>
      <c r="CG390" s="4"/>
      <c r="CH390" s="37"/>
      <c r="CI390" s="37"/>
    </row>
    <row r="391" spans="1:87" ht="15" customHeight="1" x14ac:dyDescent="0.25">
      <c r="A391" s="31"/>
      <c r="B391" s="31"/>
      <c r="C391" s="31"/>
      <c r="D391" s="4"/>
      <c r="E391" s="24"/>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c r="CF391" s="26"/>
      <c r="CG391" s="4"/>
      <c r="CH391" s="37"/>
      <c r="CI391" s="37"/>
    </row>
    <row r="392" spans="1:87" ht="15" customHeight="1" x14ac:dyDescent="0.25">
      <c r="A392" s="31"/>
      <c r="B392" s="31"/>
      <c r="C392" s="31"/>
      <c r="D392" s="4"/>
      <c r="E392" s="24"/>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c r="CF392" s="26"/>
      <c r="CG392" s="4"/>
      <c r="CH392" s="37"/>
      <c r="CI392" s="37"/>
    </row>
    <row r="393" spans="1:87" ht="15" customHeight="1" x14ac:dyDescent="0.25">
      <c r="A393" s="31"/>
      <c r="B393" s="31"/>
      <c r="C393" s="31"/>
      <c r="D393" s="4"/>
      <c r="E393" s="24"/>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c r="CF393" s="26"/>
      <c r="CG393" s="4"/>
      <c r="CH393" s="37"/>
      <c r="CI393" s="37"/>
    </row>
    <row r="394" spans="1:87" ht="15" customHeight="1" x14ac:dyDescent="0.25">
      <c r="A394" s="31"/>
      <c r="B394" s="31"/>
      <c r="C394" s="31"/>
      <c r="D394" s="4"/>
      <c r="E394" s="24"/>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c r="CF394" s="26"/>
      <c r="CG394" s="4"/>
      <c r="CH394" s="37"/>
      <c r="CI394" s="37"/>
    </row>
    <row r="395" spans="1:87" ht="15" customHeight="1" x14ac:dyDescent="0.25">
      <c r="A395" s="31"/>
      <c r="B395" s="31"/>
      <c r="C395" s="31"/>
      <c r="D395" s="4"/>
      <c r="E395" s="24"/>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c r="CF395" s="26"/>
      <c r="CG395" s="4"/>
      <c r="CH395" s="37"/>
      <c r="CI395" s="37"/>
    </row>
    <row r="396" spans="1:87" ht="15" customHeight="1" x14ac:dyDescent="0.25">
      <c r="A396" s="31"/>
      <c r="B396" s="31"/>
      <c r="C396" s="31"/>
      <c r="D396" s="4"/>
      <c r="E396" s="24"/>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c r="CF396" s="26"/>
      <c r="CG396" s="4"/>
      <c r="CH396" s="37"/>
      <c r="CI396" s="37"/>
    </row>
    <row r="397" spans="1:87" ht="15" customHeight="1" x14ac:dyDescent="0.25">
      <c r="A397" s="31"/>
      <c r="B397" s="31"/>
      <c r="C397" s="31"/>
      <c r="D397" s="4"/>
      <c r="E397" s="24"/>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c r="CF397" s="26"/>
      <c r="CG397" s="4"/>
      <c r="CH397" s="37"/>
      <c r="CI397" s="37"/>
    </row>
    <row r="398" spans="1:87" ht="15" customHeight="1" x14ac:dyDescent="0.25">
      <c r="A398" s="31"/>
      <c r="B398" s="31"/>
      <c r="C398" s="31"/>
      <c r="D398" s="4"/>
      <c r="E398" s="24"/>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c r="CF398" s="26"/>
      <c r="CG398" s="4"/>
      <c r="CH398" s="37"/>
      <c r="CI398" s="37"/>
    </row>
    <row r="399" spans="1:87" ht="15" customHeight="1" x14ac:dyDescent="0.25">
      <c r="A399" s="31"/>
      <c r="B399" s="31"/>
      <c r="C399" s="31"/>
      <c r="D399" s="4"/>
      <c r="E399" s="24"/>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c r="CF399" s="26"/>
      <c r="CG399" s="4"/>
      <c r="CH399" s="37"/>
      <c r="CI399" s="37"/>
    </row>
    <row r="400" spans="1:87" ht="15" customHeight="1" x14ac:dyDescent="0.25">
      <c r="A400" s="31"/>
      <c r="B400" s="31"/>
      <c r="C400" s="31"/>
      <c r="D400" s="4"/>
      <c r="E400" s="24"/>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c r="CF400" s="26"/>
      <c r="CG400" s="4"/>
      <c r="CH400" s="37"/>
      <c r="CI400" s="37"/>
    </row>
    <row r="401" spans="1:87" ht="15" customHeight="1" x14ac:dyDescent="0.25">
      <c r="A401" s="31"/>
      <c r="B401" s="31"/>
      <c r="C401" s="31"/>
      <c r="D401" s="4"/>
      <c r="E401" s="24"/>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c r="CF401" s="26"/>
      <c r="CG401" s="4"/>
      <c r="CH401" s="37"/>
      <c r="CI401" s="37"/>
    </row>
    <row r="402" spans="1:87" ht="15" customHeight="1" x14ac:dyDescent="0.25">
      <c r="A402" s="31"/>
      <c r="B402" s="31"/>
      <c r="C402" s="31"/>
      <c r="D402" s="4"/>
      <c r="E402" s="24"/>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c r="CF402" s="26"/>
      <c r="CG402" s="4"/>
      <c r="CH402" s="37"/>
      <c r="CI402" s="37"/>
    </row>
    <row r="403" spans="1:87" ht="15" customHeight="1" x14ac:dyDescent="0.25">
      <c r="A403" s="31"/>
      <c r="B403" s="31"/>
      <c r="C403" s="31"/>
      <c r="D403" s="4"/>
      <c r="E403" s="24"/>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c r="CF403" s="26"/>
      <c r="CG403" s="4"/>
      <c r="CH403" s="37"/>
      <c r="CI403" s="37"/>
    </row>
    <row r="404" spans="1:87" ht="15" customHeight="1" x14ac:dyDescent="0.25">
      <c r="A404" s="31"/>
      <c r="B404" s="31"/>
      <c r="C404" s="31"/>
      <c r="D404" s="4"/>
      <c r="E404" s="24"/>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c r="CF404" s="26"/>
      <c r="CG404" s="4"/>
      <c r="CH404" s="37"/>
      <c r="CI404" s="37"/>
    </row>
    <row r="405" spans="1:87" ht="15" customHeight="1" x14ac:dyDescent="0.25">
      <c r="A405" s="31"/>
      <c r="B405" s="31"/>
      <c r="C405" s="31"/>
      <c r="D405" s="4"/>
      <c r="E405" s="24"/>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c r="CF405" s="26"/>
      <c r="CG405" s="4"/>
      <c r="CH405" s="37"/>
      <c r="CI405" s="37"/>
    </row>
    <row r="406" spans="1:87" ht="15" customHeight="1" x14ac:dyDescent="0.25">
      <c r="A406" s="31"/>
      <c r="B406" s="31"/>
      <c r="C406" s="31"/>
      <c r="D406" s="4"/>
      <c r="E406" s="24"/>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c r="CF406" s="26"/>
      <c r="CG406" s="4"/>
      <c r="CH406" s="37"/>
      <c r="CI406" s="37"/>
    </row>
    <row r="407" spans="1:87" ht="15" customHeight="1" x14ac:dyDescent="0.25">
      <c r="A407" s="31"/>
      <c r="B407" s="31"/>
      <c r="C407" s="31"/>
      <c r="D407" s="4"/>
      <c r="E407" s="24"/>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c r="CF407" s="26"/>
      <c r="CG407" s="4"/>
      <c r="CH407" s="37"/>
      <c r="CI407" s="37"/>
    </row>
    <row r="408" spans="1:87" ht="15" customHeight="1" x14ac:dyDescent="0.25">
      <c r="A408" s="31"/>
      <c r="B408" s="31"/>
      <c r="C408" s="31"/>
      <c r="D408" s="4"/>
      <c r="E408" s="24"/>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c r="CF408" s="26"/>
      <c r="CG408" s="4"/>
      <c r="CH408" s="37"/>
      <c r="CI408" s="37"/>
    </row>
    <row r="409" spans="1:87" ht="15" customHeight="1" x14ac:dyDescent="0.25">
      <c r="A409" s="31"/>
      <c r="B409" s="31"/>
      <c r="C409" s="31"/>
      <c r="D409" s="4"/>
      <c r="E409" s="24"/>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c r="CF409" s="26"/>
      <c r="CG409" s="4"/>
      <c r="CH409" s="37"/>
      <c r="CI409" s="37"/>
    </row>
    <row r="410" spans="1:87" ht="15" customHeight="1" x14ac:dyDescent="0.25">
      <c r="A410" s="31"/>
      <c r="B410" s="31"/>
      <c r="C410" s="31"/>
      <c r="D410" s="4"/>
      <c r="E410" s="24"/>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c r="CF410" s="26"/>
      <c r="CG410" s="4"/>
      <c r="CH410" s="37"/>
      <c r="CI410" s="37"/>
    </row>
    <row r="411" spans="1:87" ht="15" customHeight="1" x14ac:dyDescent="0.25">
      <c r="A411" s="31"/>
      <c r="B411" s="31"/>
      <c r="C411" s="31"/>
      <c r="D411" s="4"/>
      <c r="E411" s="24"/>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c r="CF411" s="26"/>
      <c r="CG411" s="4"/>
      <c r="CH411" s="37"/>
      <c r="CI411" s="37"/>
    </row>
    <row r="412" spans="1:87" ht="15" customHeight="1" x14ac:dyDescent="0.25">
      <c r="A412" s="31"/>
      <c r="B412" s="31"/>
      <c r="C412" s="31"/>
      <c r="D412" s="4"/>
      <c r="E412" s="24"/>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c r="CF412" s="26"/>
      <c r="CG412" s="4"/>
      <c r="CH412" s="37"/>
      <c r="CI412" s="37"/>
    </row>
    <row r="413" spans="1:87" ht="15" customHeight="1" x14ac:dyDescent="0.25">
      <c r="A413" s="31"/>
      <c r="B413" s="31"/>
      <c r="C413" s="31"/>
      <c r="D413" s="4"/>
      <c r="E413" s="24"/>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c r="CF413" s="26"/>
      <c r="CG413" s="4"/>
      <c r="CH413" s="37"/>
      <c r="CI413" s="37"/>
    </row>
    <row r="414" spans="1:87" ht="15" customHeight="1" x14ac:dyDescent="0.25">
      <c r="A414" s="31"/>
      <c r="B414" s="31"/>
      <c r="C414" s="31"/>
      <c r="D414" s="4"/>
      <c r="E414" s="24"/>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c r="CF414" s="26"/>
      <c r="CG414" s="4"/>
      <c r="CH414" s="37"/>
      <c r="CI414" s="37"/>
    </row>
    <row r="415" spans="1:87" ht="15" customHeight="1" x14ac:dyDescent="0.25">
      <c r="A415" s="31"/>
      <c r="B415" s="31"/>
      <c r="C415" s="31"/>
      <c r="D415" s="4"/>
      <c r="E415" s="24"/>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c r="CF415" s="26"/>
      <c r="CG415" s="4"/>
      <c r="CH415" s="37"/>
      <c r="CI415" s="37"/>
    </row>
    <row r="416" spans="1:87" ht="15" customHeight="1" x14ac:dyDescent="0.25">
      <c r="A416" s="31"/>
      <c r="B416" s="31"/>
      <c r="C416" s="31"/>
      <c r="D416" s="4"/>
      <c r="E416" s="24"/>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c r="CF416" s="26"/>
      <c r="CG416" s="4"/>
      <c r="CH416" s="37"/>
      <c r="CI416" s="37"/>
    </row>
    <row r="417" spans="1:87" ht="15" customHeight="1" x14ac:dyDescent="0.25">
      <c r="A417" s="31"/>
      <c r="B417" s="31"/>
      <c r="C417" s="31"/>
      <c r="D417" s="4"/>
      <c r="E417" s="24"/>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c r="CF417" s="26"/>
      <c r="CG417" s="4"/>
      <c r="CH417" s="37"/>
      <c r="CI417" s="37"/>
    </row>
    <row r="418" spans="1:87" ht="15" customHeight="1" x14ac:dyDescent="0.25">
      <c r="A418" s="31"/>
      <c r="B418" s="31"/>
      <c r="C418" s="31"/>
      <c r="D418" s="4"/>
      <c r="E418" s="24"/>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c r="CF418" s="26"/>
      <c r="CG418" s="4"/>
      <c r="CH418" s="37"/>
      <c r="CI418" s="37"/>
    </row>
    <row r="419" spans="1:87" ht="15" customHeight="1" x14ac:dyDescent="0.25">
      <c r="A419" s="31"/>
      <c r="B419" s="31"/>
      <c r="C419" s="31"/>
      <c r="D419" s="4"/>
      <c r="E419" s="24"/>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c r="CF419" s="26"/>
      <c r="CG419" s="4"/>
      <c r="CH419" s="37"/>
      <c r="CI419" s="37"/>
    </row>
    <row r="420" spans="1:87" ht="15" customHeight="1" x14ac:dyDescent="0.25">
      <c r="A420" s="31"/>
      <c r="B420" s="31"/>
      <c r="C420" s="31"/>
      <c r="D420" s="4"/>
      <c r="E420" s="24"/>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c r="CF420" s="26"/>
      <c r="CG420" s="4"/>
      <c r="CH420" s="37"/>
      <c r="CI420" s="37"/>
    </row>
    <row r="421" spans="1:87" ht="15" customHeight="1" x14ac:dyDescent="0.25">
      <c r="A421" s="31"/>
      <c r="B421" s="31"/>
      <c r="C421" s="31"/>
      <c r="D421" s="4"/>
      <c r="E421" s="24"/>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c r="CF421" s="26"/>
      <c r="CG421" s="4"/>
      <c r="CH421" s="37"/>
      <c r="CI421" s="37"/>
    </row>
    <row r="422" spans="1:87" ht="15" customHeight="1" x14ac:dyDescent="0.25">
      <c r="A422" s="31"/>
      <c r="B422" s="31"/>
      <c r="C422" s="31"/>
      <c r="D422" s="4"/>
      <c r="E422" s="24"/>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c r="CF422" s="26"/>
      <c r="CG422" s="4"/>
      <c r="CH422" s="37"/>
      <c r="CI422" s="37"/>
    </row>
    <row r="423" spans="1:87" ht="15" customHeight="1" x14ac:dyDescent="0.25">
      <c r="A423" s="31"/>
      <c r="B423" s="31"/>
      <c r="C423" s="31"/>
      <c r="D423" s="4"/>
      <c r="E423" s="24"/>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c r="CF423" s="26"/>
      <c r="CG423" s="4"/>
      <c r="CH423" s="37"/>
      <c r="CI423" s="37"/>
    </row>
    <row r="424" spans="1:87" ht="15" customHeight="1" x14ac:dyDescent="0.25">
      <c r="A424" s="31"/>
      <c r="B424" s="31"/>
      <c r="C424" s="31"/>
      <c r="D424" s="4"/>
      <c r="E424" s="24"/>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c r="CF424" s="26"/>
      <c r="CG424" s="4"/>
      <c r="CH424" s="37"/>
      <c r="CI424" s="37"/>
    </row>
    <row r="425" spans="1:87" ht="15" customHeight="1" x14ac:dyDescent="0.25">
      <c r="A425" s="31"/>
      <c r="B425" s="31"/>
      <c r="C425" s="31"/>
      <c r="D425" s="4"/>
      <c r="E425" s="24"/>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c r="CF425" s="26"/>
      <c r="CG425" s="4"/>
      <c r="CH425" s="37"/>
      <c r="CI425" s="37"/>
    </row>
    <row r="426" spans="1:87" ht="15" customHeight="1" x14ac:dyDescent="0.25">
      <c r="A426" s="31"/>
      <c r="B426" s="31"/>
      <c r="C426" s="31"/>
      <c r="D426" s="4"/>
      <c r="E426" s="24"/>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c r="CF426" s="26"/>
      <c r="CG426" s="4"/>
      <c r="CH426" s="37"/>
      <c r="CI426" s="37"/>
    </row>
    <row r="427" spans="1:87" ht="15" customHeight="1" x14ac:dyDescent="0.25">
      <c r="A427" s="31"/>
      <c r="B427" s="31"/>
      <c r="C427" s="31"/>
      <c r="D427" s="4"/>
      <c r="E427" s="24"/>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c r="CF427" s="26"/>
      <c r="CG427" s="4"/>
      <c r="CH427" s="37"/>
      <c r="CI427" s="37"/>
    </row>
    <row r="428" spans="1:87" ht="15" customHeight="1" x14ac:dyDescent="0.25">
      <c r="A428" s="31"/>
      <c r="B428" s="31"/>
      <c r="C428" s="31"/>
      <c r="D428" s="4"/>
      <c r="E428" s="24"/>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c r="CF428" s="26"/>
      <c r="CG428" s="4"/>
      <c r="CH428" s="37"/>
      <c r="CI428" s="37"/>
    </row>
    <row r="429" spans="1:87" ht="15" customHeight="1" x14ac:dyDescent="0.25">
      <c r="A429" s="31"/>
      <c r="B429" s="31"/>
      <c r="C429" s="31"/>
      <c r="D429" s="4"/>
      <c r="E429" s="24"/>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c r="CF429" s="26"/>
      <c r="CG429" s="4"/>
      <c r="CH429" s="37"/>
      <c r="CI429" s="37"/>
    </row>
    <row r="430" spans="1:87" ht="15" customHeight="1" x14ac:dyDescent="0.25">
      <c r="A430" s="31"/>
      <c r="B430" s="31"/>
      <c r="C430" s="31"/>
      <c r="D430" s="4"/>
      <c r="E430" s="24"/>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c r="CF430" s="26"/>
      <c r="CG430" s="4"/>
      <c r="CH430" s="37"/>
      <c r="CI430" s="37"/>
    </row>
    <row r="431" spans="1:87" ht="15" customHeight="1" x14ac:dyDescent="0.25">
      <c r="A431" s="31"/>
      <c r="B431" s="31"/>
      <c r="C431" s="31"/>
      <c r="D431" s="4"/>
      <c r="E431" s="24"/>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c r="CF431" s="26"/>
      <c r="CG431" s="4"/>
      <c r="CH431" s="37"/>
      <c r="CI431" s="37"/>
    </row>
    <row r="432" spans="1:87" ht="15" customHeight="1" x14ac:dyDescent="0.25">
      <c r="A432" s="31"/>
      <c r="B432" s="31"/>
      <c r="C432" s="31"/>
      <c r="D432" s="4"/>
      <c r="E432" s="24"/>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c r="CF432" s="26"/>
      <c r="CG432" s="4"/>
      <c r="CH432" s="37"/>
      <c r="CI432" s="37"/>
    </row>
    <row r="433" spans="1:87" ht="15" customHeight="1" x14ac:dyDescent="0.25">
      <c r="A433" s="31"/>
      <c r="B433" s="31"/>
      <c r="C433" s="31"/>
      <c r="D433" s="4"/>
      <c r="E433" s="24"/>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c r="CF433" s="26"/>
      <c r="CG433" s="4"/>
      <c r="CH433" s="37"/>
      <c r="CI433" s="37"/>
    </row>
    <row r="434" spans="1:87" ht="15" customHeight="1" x14ac:dyDescent="0.25">
      <c r="A434" s="31"/>
      <c r="B434" s="31"/>
      <c r="C434" s="31"/>
      <c r="D434" s="4"/>
      <c r="E434" s="24"/>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c r="CF434" s="26"/>
      <c r="CG434" s="4"/>
      <c r="CH434" s="37"/>
      <c r="CI434" s="37"/>
    </row>
    <row r="435" spans="1:87" ht="15" customHeight="1" x14ac:dyDescent="0.25">
      <c r="A435" s="31"/>
      <c r="B435" s="31"/>
      <c r="C435" s="31"/>
      <c r="D435" s="4"/>
      <c r="E435" s="24"/>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c r="CF435" s="26"/>
      <c r="CG435" s="4"/>
      <c r="CH435" s="37"/>
      <c r="CI435" s="37"/>
    </row>
    <row r="436" spans="1:87" ht="15" customHeight="1" x14ac:dyDescent="0.25">
      <c r="A436" s="31"/>
      <c r="B436" s="31"/>
      <c r="C436" s="31"/>
      <c r="D436" s="4"/>
      <c r="E436" s="24"/>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c r="CF436" s="26"/>
      <c r="CG436" s="4"/>
      <c r="CH436" s="37"/>
      <c r="CI436" s="37"/>
    </row>
    <row r="437" spans="1:87" ht="15" customHeight="1" x14ac:dyDescent="0.25">
      <c r="A437" s="31"/>
      <c r="B437" s="31"/>
      <c r="C437" s="31"/>
      <c r="D437" s="4"/>
      <c r="E437" s="24"/>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c r="CF437" s="26"/>
      <c r="CG437" s="4"/>
      <c r="CH437" s="37"/>
      <c r="CI437" s="37"/>
    </row>
    <row r="438" spans="1:87" ht="15" customHeight="1" x14ac:dyDescent="0.25">
      <c r="A438" s="31"/>
      <c r="B438" s="31"/>
      <c r="C438" s="31"/>
      <c r="D438" s="4"/>
      <c r="E438" s="24"/>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c r="CF438" s="26"/>
      <c r="CG438" s="4"/>
      <c r="CH438" s="37"/>
      <c r="CI438" s="37"/>
    </row>
    <row r="439" spans="1:87" ht="15" customHeight="1" x14ac:dyDescent="0.25">
      <c r="A439" s="31"/>
      <c r="B439" s="31"/>
      <c r="C439" s="31"/>
      <c r="D439" s="4"/>
      <c r="E439" s="24"/>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c r="CF439" s="26"/>
      <c r="CG439" s="4"/>
      <c r="CH439" s="37"/>
      <c r="CI439" s="37"/>
    </row>
    <row r="440" spans="1:87" ht="15" customHeight="1" x14ac:dyDescent="0.25">
      <c r="A440" s="31"/>
      <c r="B440" s="31"/>
      <c r="C440" s="31"/>
      <c r="D440" s="4"/>
      <c r="E440" s="24"/>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c r="CF440" s="26"/>
      <c r="CG440" s="4"/>
      <c r="CH440" s="37"/>
      <c r="CI440" s="37"/>
    </row>
    <row r="441" spans="1:87" ht="15" customHeight="1" x14ac:dyDescent="0.25">
      <c r="A441" s="31"/>
      <c r="B441" s="31"/>
      <c r="C441" s="31"/>
      <c r="D441" s="4"/>
      <c r="E441" s="24"/>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c r="CF441" s="26"/>
      <c r="CG441" s="4"/>
      <c r="CH441" s="37"/>
      <c r="CI441" s="37"/>
    </row>
    <row r="442" spans="1:87" ht="15" customHeight="1" x14ac:dyDescent="0.25">
      <c r="A442" s="31"/>
      <c r="B442" s="31"/>
      <c r="C442" s="31"/>
      <c r="D442" s="4"/>
      <c r="E442" s="24"/>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c r="CF442" s="26"/>
      <c r="CG442" s="4"/>
      <c r="CH442" s="37"/>
      <c r="CI442" s="37"/>
    </row>
    <row r="443" spans="1:87" ht="15" customHeight="1" x14ac:dyDescent="0.25">
      <c r="A443" s="31"/>
      <c r="B443" s="31"/>
      <c r="C443" s="31"/>
      <c r="D443" s="4"/>
      <c r="E443" s="24"/>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c r="CF443" s="26"/>
      <c r="CG443" s="4"/>
      <c r="CH443" s="37"/>
      <c r="CI443" s="37"/>
    </row>
    <row r="444" spans="1:87" ht="15" customHeight="1" x14ac:dyDescent="0.25">
      <c r="A444" s="31"/>
      <c r="B444" s="31"/>
      <c r="C444" s="31"/>
      <c r="D444" s="4"/>
      <c r="E444" s="24"/>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c r="CF444" s="26"/>
      <c r="CG444" s="4"/>
      <c r="CH444" s="37"/>
      <c r="CI444" s="37"/>
    </row>
    <row r="445" spans="1:87" ht="15" customHeight="1" x14ac:dyDescent="0.25">
      <c r="A445" s="31"/>
      <c r="B445" s="31"/>
      <c r="C445" s="31"/>
      <c r="D445" s="4"/>
      <c r="E445" s="24"/>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c r="CF445" s="26"/>
      <c r="CG445" s="4"/>
      <c r="CH445" s="37"/>
      <c r="CI445" s="37"/>
    </row>
    <row r="446" spans="1:87" ht="15" customHeight="1" x14ac:dyDescent="0.25">
      <c r="A446" s="31"/>
      <c r="B446" s="31"/>
      <c r="C446" s="31"/>
      <c r="D446" s="4"/>
      <c r="E446" s="24"/>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c r="CF446" s="26"/>
      <c r="CG446" s="4"/>
      <c r="CH446" s="37"/>
      <c r="CI446" s="37"/>
    </row>
    <row r="447" spans="1:87" ht="15" customHeight="1" x14ac:dyDescent="0.25">
      <c r="A447" s="31"/>
      <c r="B447" s="31"/>
      <c r="C447" s="31"/>
      <c r="D447" s="4"/>
      <c r="E447" s="24"/>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c r="CF447" s="26"/>
      <c r="CG447" s="4"/>
      <c r="CH447" s="37"/>
      <c r="CI447" s="37"/>
    </row>
    <row r="448" spans="1:87" ht="15" customHeight="1" x14ac:dyDescent="0.25">
      <c r="A448" s="31"/>
      <c r="B448" s="31"/>
      <c r="C448" s="31"/>
      <c r="D448" s="4"/>
      <c r="E448" s="24"/>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c r="CF448" s="26"/>
      <c r="CG448" s="4"/>
      <c r="CH448" s="37"/>
      <c r="CI448" s="37"/>
    </row>
    <row r="449" spans="1:87" ht="15" customHeight="1" x14ac:dyDescent="0.25">
      <c r="A449" s="31"/>
      <c r="B449" s="31"/>
      <c r="C449" s="31"/>
      <c r="D449" s="4"/>
      <c r="E449" s="24"/>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c r="CF449" s="26"/>
      <c r="CG449" s="4"/>
      <c r="CH449" s="37"/>
      <c r="CI449" s="37"/>
    </row>
    <row r="450" spans="1:87" ht="15" customHeight="1" x14ac:dyDescent="0.25">
      <c r="A450" s="31"/>
      <c r="B450" s="31"/>
      <c r="C450" s="31"/>
      <c r="D450" s="4"/>
      <c r="E450" s="24"/>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c r="CF450" s="26"/>
      <c r="CG450" s="4"/>
      <c r="CH450" s="37"/>
      <c r="CI450" s="37"/>
    </row>
    <row r="451" spans="1:87" ht="15" customHeight="1" x14ac:dyDescent="0.25">
      <c r="A451" s="31"/>
      <c r="B451" s="31"/>
      <c r="C451" s="31"/>
      <c r="D451" s="4"/>
      <c r="E451" s="24"/>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c r="CF451" s="26"/>
      <c r="CG451" s="4"/>
      <c r="CH451" s="37"/>
      <c r="CI451" s="37"/>
    </row>
    <row r="452" spans="1:87" ht="15" customHeight="1" x14ac:dyDescent="0.25">
      <c r="A452" s="31"/>
      <c r="B452" s="31"/>
      <c r="C452" s="31"/>
      <c r="D452" s="4"/>
      <c r="E452" s="24"/>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c r="CF452" s="26"/>
      <c r="CG452" s="4"/>
      <c r="CH452" s="37"/>
      <c r="CI452" s="37"/>
    </row>
    <row r="453" spans="1:87" ht="15" customHeight="1" x14ac:dyDescent="0.25">
      <c r="A453" s="31"/>
      <c r="B453" s="31"/>
      <c r="C453" s="31"/>
      <c r="D453" s="4"/>
      <c r="E453" s="24"/>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c r="CF453" s="26"/>
      <c r="CG453" s="4"/>
      <c r="CH453" s="37"/>
      <c r="CI453" s="37"/>
    </row>
    <row r="454" spans="1:87" ht="15" customHeight="1" x14ac:dyDescent="0.25">
      <c r="A454" s="31"/>
      <c r="B454" s="31"/>
      <c r="C454" s="31"/>
      <c r="D454" s="4"/>
      <c r="E454" s="24"/>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c r="CF454" s="26"/>
      <c r="CG454" s="4"/>
      <c r="CH454" s="37"/>
      <c r="CI454" s="37"/>
    </row>
    <row r="455" spans="1:87" ht="15" customHeight="1" x14ac:dyDescent="0.25">
      <c r="A455" s="31"/>
      <c r="B455" s="31"/>
      <c r="C455" s="31"/>
      <c r="D455" s="4"/>
      <c r="E455" s="24"/>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c r="CF455" s="26"/>
      <c r="CG455" s="4"/>
      <c r="CH455" s="37"/>
      <c r="CI455" s="37"/>
    </row>
    <row r="456" spans="1:87" ht="15" customHeight="1" x14ac:dyDescent="0.25">
      <c r="A456" s="31"/>
      <c r="B456" s="31"/>
      <c r="C456" s="31"/>
      <c r="D456" s="4"/>
      <c r="E456" s="24"/>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c r="CF456" s="26"/>
      <c r="CG456" s="4"/>
      <c r="CH456" s="37"/>
      <c r="CI456" s="37"/>
    </row>
    <row r="457" spans="1:87" ht="15" customHeight="1" x14ac:dyDescent="0.25">
      <c r="A457" s="31"/>
      <c r="B457" s="31"/>
      <c r="C457" s="31"/>
      <c r="D457" s="4"/>
      <c r="E457" s="24"/>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c r="CF457" s="26"/>
      <c r="CG457" s="4"/>
      <c r="CH457" s="37"/>
      <c r="CI457" s="37"/>
    </row>
    <row r="458" spans="1:87" ht="15" customHeight="1" x14ac:dyDescent="0.25">
      <c r="A458" s="31"/>
      <c r="B458" s="31"/>
      <c r="C458" s="31"/>
      <c r="D458" s="4"/>
      <c r="E458" s="24"/>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c r="CF458" s="26"/>
      <c r="CG458" s="4"/>
      <c r="CH458" s="37"/>
      <c r="CI458" s="37"/>
    </row>
    <row r="459" spans="1:87" ht="15" customHeight="1" x14ac:dyDescent="0.25">
      <c r="A459" s="31"/>
      <c r="B459" s="31"/>
      <c r="C459" s="31"/>
      <c r="D459" s="4"/>
      <c r="E459" s="24"/>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c r="CF459" s="26"/>
      <c r="CG459" s="4"/>
      <c r="CH459" s="37"/>
      <c r="CI459" s="37"/>
    </row>
    <row r="460" spans="1:87" ht="15" customHeight="1" x14ac:dyDescent="0.25">
      <c r="A460" s="31"/>
      <c r="B460" s="31"/>
      <c r="C460" s="31"/>
      <c r="D460" s="4"/>
      <c r="E460" s="24"/>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c r="CF460" s="26"/>
      <c r="CG460" s="4"/>
      <c r="CH460" s="37"/>
      <c r="CI460" s="37"/>
    </row>
    <row r="461" spans="1:87" ht="15" customHeight="1" x14ac:dyDescent="0.25">
      <c r="A461" s="31"/>
      <c r="B461" s="31"/>
      <c r="C461" s="31"/>
      <c r="D461" s="4"/>
      <c r="E461" s="24"/>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c r="CF461" s="26"/>
      <c r="CG461" s="4"/>
      <c r="CH461" s="37"/>
      <c r="CI461" s="37"/>
    </row>
    <row r="462" spans="1:87" ht="15" customHeight="1" x14ac:dyDescent="0.25">
      <c r="A462" s="31"/>
      <c r="B462" s="31"/>
      <c r="C462" s="31"/>
      <c r="D462" s="4"/>
      <c r="E462" s="24"/>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c r="CF462" s="26"/>
      <c r="CG462" s="4"/>
      <c r="CH462" s="37"/>
      <c r="CI462" s="37"/>
    </row>
    <row r="463" spans="1:87" ht="15" customHeight="1" x14ac:dyDescent="0.25">
      <c r="A463" s="31"/>
      <c r="B463" s="31"/>
      <c r="C463" s="31"/>
      <c r="D463" s="4"/>
      <c r="E463" s="24"/>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c r="CF463" s="26"/>
      <c r="CG463" s="4"/>
      <c r="CH463" s="37"/>
      <c r="CI463" s="37"/>
    </row>
    <row r="464" spans="1:87" ht="15" customHeight="1" x14ac:dyDescent="0.25">
      <c r="A464" s="31"/>
      <c r="B464" s="31"/>
      <c r="C464" s="31"/>
      <c r="D464" s="4"/>
      <c r="E464" s="24"/>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c r="CF464" s="26"/>
      <c r="CG464" s="4"/>
      <c r="CH464" s="37"/>
      <c r="CI464" s="37"/>
    </row>
    <row r="465" spans="1:87" ht="15" customHeight="1" x14ac:dyDescent="0.25">
      <c r="A465" s="31"/>
      <c r="B465" s="31"/>
      <c r="C465" s="31"/>
      <c r="D465" s="4"/>
      <c r="E465" s="24"/>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c r="CF465" s="26"/>
      <c r="CG465" s="4"/>
      <c r="CH465" s="37"/>
      <c r="CI465" s="37"/>
    </row>
    <row r="466" spans="1:87" ht="15" customHeight="1" x14ac:dyDescent="0.25">
      <c r="A466" s="31"/>
      <c r="B466" s="31"/>
      <c r="C466" s="31"/>
      <c r="D466" s="4"/>
      <c r="E466" s="24"/>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c r="CF466" s="26"/>
      <c r="CG466" s="4"/>
      <c r="CH466" s="37"/>
      <c r="CI466" s="37"/>
    </row>
    <row r="467" spans="1:87" ht="15" customHeight="1" x14ac:dyDescent="0.25">
      <c r="A467" s="31"/>
      <c r="B467" s="31"/>
      <c r="C467" s="31"/>
      <c r="D467" s="4"/>
      <c r="E467" s="24"/>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c r="CF467" s="26"/>
      <c r="CG467" s="4"/>
      <c r="CH467" s="37"/>
      <c r="CI467" s="37"/>
    </row>
    <row r="468" spans="1:87" ht="15" customHeight="1" x14ac:dyDescent="0.25">
      <c r="A468" s="31"/>
      <c r="B468" s="31"/>
      <c r="C468" s="31"/>
      <c r="D468" s="4"/>
      <c r="E468" s="24"/>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c r="CF468" s="26"/>
      <c r="CG468" s="4"/>
      <c r="CH468" s="37"/>
      <c r="CI468" s="37"/>
    </row>
    <row r="469" spans="1:87" ht="15" customHeight="1" x14ac:dyDescent="0.25">
      <c r="A469" s="31"/>
      <c r="B469" s="31"/>
      <c r="C469" s="31"/>
      <c r="D469" s="4"/>
      <c r="E469" s="24"/>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c r="CF469" s="26"/>
      <c r="CG469" s="4"/>
      <c r="CH469" s="37"/>
      <c r="CI469" s="37"/>
    </row>
    <row r="470" spans="1:87" ht="15" customHeight="1" x14ac:dyDescent="0.25">
      <c r="A470" s="31"/>
      <c r="B470" s="31"/>
      <c r="C470" s="31"/>
      <c r="D470" s="4"/>
      <c r="E470" s="24"/>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c r="CF470" s="26"/>
      <c r="CG470" s="4"/>
      <c r="CH470" s="37"/>
      <c r="CI470" s="37"/>
    </row>
    <row r="471" spans="1:87" ht="15" customHeight="1" x14ac:dyDescent="0.25">
      <c r="A471" s="31"/>
      <c r="B471" s="31"/>
      <c r="C471" s="31"/>
      <c r="D471" s="4"/>
      <c r="E471" s="24"/>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c r="CF471" s="26"/>
      <c r="CG471" s="4"/>
      <c r="CH471" s="37"/>
      <c r="CI471" s="37"/>
    </row>
    <row r="472" spans="1:87" ht="15" customHeight="1" x14ac:dyDescent="0.25">
      <c r="A472" s="31"/>
      <c r="B472" s="31"/>
      <c r="C472" s="31"/>
      <c r="D472" s="4"/>
      <c r="E472" s="24"/>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c r="CF472" s="26"/>
      <c r="CG472" s="4"/>
      <c r="CH472" s="37"/>
      <c r="CI472" s="37"/>
    </row>
    <row r="473" spans="1:87" ht="15" customHeight="1" x14ac:dyDescent="0.25">
      <c r="A473" s="31"/>
      <c r="B473" s="31"/>
      <c r="C473" s="31"/>
      <c r="D473" s="4"/>
      <c r="E473" s="24"/>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c r="CF473" s="26"/>
      <c r="CG473" s="4"/>
      <c r="CH473" s="37"/>
      <c r="CI473" s="37"/>
    </row>
    <row r="474" spans="1:87" ht="15" customHeight="1" x14ac:dyDescent="0.25">
      <c r="A474" s="31"/>
      <c r="B474" s="31"/>
      <c r="C474" s="31"/>
      <c r="D474" s="4"/>
      <c r="E474" s="24"/>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c r="CF474" s="26"/>
      <c r="CG474" s="4"/>
      <c r="CH474" s="37"/>
      <c r="CI474" s="37"/>
    </row>
    <row r="475" spans="1:87" ht="15" customHeight="1" x14ac:dyDescent="0.25">
      <c r="A475" s="31"/>
      <c r="B475" s="31"/>
      <c r="C475" s="31"/>
      <c r="D475" s="4"/>
      <c r="E475" s="24"/>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c r="CF475" s="26"/>
      <c r="CG475" s="4"/>
      <c r="CH475" s="37"/>
      <c r="CI475" s="37"/>
    </row>
    <row r="476" spans="1:87" ht="15" customHeight="1" x14ac:dyDescent="0.25">
      <c r="A476" s="31"/>
      <c r="B476" s="31"/>
      <c r="C476" s="31"/>
      <c r="D476" s="4"/>
      <c r="E476" s="24"/>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c r="CF476" s="26"/>
      <c r="CG476" s="4"/>
      <c r="CH476" s="37"/>
      <c r="CI476" s="37"/>
    </row>
    <row r="477" spans="1:87" ht="15" customHeight="1" x14ac:dyDescent="0.25">
      <c r="A477" s="31"/>
      <c r="B477" s="31"/>
      <c r="C477" s="31"/>
      <c r="D477" s="4"/>
      <c r="E477" s="24"/>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c r="CF477" s="26"/>
      <c r="CG477" s="4"/>
      <c r="CH477" s="37"/>
      <c r="CI477" s="37"/>
    </row>
    <row r="478" spans="1:87" ht="15" customHeight="1" x14ac:dyDescent="0.25">
      <c r="A478" s="31"/>
      <c r="B478" s="31"/>
      <c r="C478" s="31"/>
      <c r="D478" s="4"/>
      <c r="E478" s="24"/>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c r="CF478" s="26"/>
      <c r="CG478" s="4"/>
      <c r="CH478" s="37"/>
      <c r="CI478" s="37"/>
    </row>
    <row r="479" spans="1:87" ht="15" customHeight="1" x14ac:dyDescent="0.25">
      <c r="A479" s="31"/>
      <c r="B479" s="31"/>
      <c r="C479" s="31"/>
      <c r="D479" s="4"/>
      <c r="E479" s="24"/>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c r="CF479" s="26"/>
      <c r="CG479" s="4"/>
      <c r="CH479" s="37"/>
      <c r="CI479" s="37"/>
    </row>
    <row r="480" spans="1:87" ht="15" customHeight="1" x14ac:dyDescent="0.25">
      <c r="A480" s="31"/>
      <c r="B480" s="31"/>
      <c r="C480" s="31"/>
      <c r="D480" s="4"/>
      <c r="E480" s="24"/>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c r="CF480" s="26"/>
      <c r="CG480" s="4"/>
      <c r="CH480" s="37"/>
      <c r="CI480" s="37"/>
    </row>
    <row r="481" spans="1:87" ht="15" customHeight="1" x14ac:dyDescent="0.25">
      <c r="A481" s="31"/>
      <c r="B481" s="31"/>
      <c r="C481" s="31"/>
      <c r="D481" s="4"/>
      <c r="E481" s="24"/>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c r="CF481" s="26"/>
      <c r="CG481" s="4"/>
      <c r="CH481" s="37"/>
      <c r="CI481" s="37"/>
    </row>
    <row r="482" spans="1:87" ht="15" customHeight="1" x14ac:dyDescent="0.25">
      <c r="A482" s="31"/>
      <c r="B482" s="31"/>
      <c r="C482" s="31"/>
      <c r="D482" s="4"/>
      <c r="E482" s="24"/>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c r="CF482" s="26"/>
      <c r="CG482" s="4"/>
      <c r="CH482" s="37"/>
      <c r="CI482" s="37"/>
    </row>
    <row r="483" spans="1:87" ht="15" customHeight="1" x14ac:dyDescent="0.25">
      <c r="A483" s="31"/>
      <c r="B483" s="31"/>
      <c r="C483" s="31"/>
      <c r="D483" s="4"/>
      <c r="E483" s="24"/>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c r="CF483" s="26"/>
      <c r="CG483" s="4"/>
      <c r="CH483" s="37"/>
      <c r="CI483" s="37"/>
    </row>
    <row r="484" spans="1:87" ht="15" customHeight="1" x14ac:dyDescent="0.25">
      <c r="A484" s="31"/>
      <c r="B484" s="31"/>
      <c r="C484" s="31"/>
      <c r="D484" s="4"/>
      <c r="E484" s="24"/>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c r="CF484" s="26"/>
      <c r="CG484" s="4"/>
      <c r="CH484" s="37"/>
      <c r="CI484" s="37"/>
    </row>
    <row r="485" spans="1:87" ht="15" customHeight="1" x14ac:dyDescent="0.25">
      <c r="A485" s="31"/>
      <c r="B485" s="31"/>
      <c r="C485" s="31"/>
      <c r="D485" s="4"/>
      <c r="E485" s="24"/>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c r="CF485" s="26"/>
      <c r="CG485" s="4"/>
      <c r="CH485" s="37"/>
      <c r="CI485" s="37"/>
    </row>
    <row r="486" spans="1:87" ht="15" customHeight="1" x14ac:dyDescent="0.25">
      <c r="A486" s="31"/>
      <c r="B486" s="31"/>
      <c r="C486" s="31"/>
      <c r="D486" s="4"/>
      <c r="E486" s="24"/>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c r="CF486" s="26"/>
      <c r="CG486" s="4"/>
      <c r="CH486" s="37"/>
      <c r="CI486" s="37"/>
    </row>
    <row r="487" spans="1:87" ht="15" customHeight="1" x14ac:dyDescent="0.25">
      <c r="A487" s="31"/>
      <c r="B487" s="31"/>
      <c r="C487" s="31"/>
      <c r="D487" s="4"/>
      <c r="E487" s="24"/>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c r="CF487" s="26"/>
      <c r="CG487" s="4"/>
      <c r="CH487" s="37"/>
      <c r="CI487" s="37"/>
    </row>
    <row r="488" spans="1:87" ht="15" customHeight="1" x14ac:dyDescent="0.25">
      <c r="A488" s="31"/>
      <c r="B488" s="31"/>
      <c r="C488" s="31"/>
      <c r="D488" s="4"/>
      <c r="E488" s="24"/>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c r="CF488" s="26"/>
      <c r="CG488" s="4"/>
      <c r="CH488" s="37"/>
      <c r="CI488" s="37"/>
    </row>
    <row r="489" spans="1:87" ht="15" customHeight="1" x14ac:dyDescent="0.25">
      <c r="A489" s="31"/>
      <c r="B489" s="31"/>
      <c r="C489" s="31"/>
      <c r="D489" s="4"/>
      <c r="E489" s="24"/>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c r="CF489" s="26"/>
      <c r="CG489" s="4"/>
      <c r="CH489" s="37"/>
      <c r="CI489" s="37"/>
    </row>
    <row r="490" spans="1:87" ht="15" customHeight="1" x14ac:dyDescent="0.25">
      <c r="A490" s="31"/>
      <c r="B490" s="31"/>
      <c r="C490" s="31"/>
      <c r="D490" s="4"/>
      <c r="E490" s="24"/>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c r="CF490" s="26"/>
      <c r="CG490" s="4"/>
      <c r="CH490" s="37"/>
      <c r="CI490" s="37"/>
    </row>
    <row r="491" spans="1:87" ht="15" customHeight="1" x14ac:dyDescent="0.25">
      <c r="A491" s="31"/>
      <c r="B491" s="31"/>
      <c r="C491" s="31"/>
      <c r="D491" s="4"/>
      <c r="E491" s="24"/>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c r="CF491" s="26"/>
      <c r="CG491" s="4"/>
      <c r="CH491" s="37"/>
      <c r="CI491" s="37"/>
    </row>
    <row r="492" spans="1:87" ht="15" customHeight="1" x14ac:dyDescent="0.25">
      <c r="A492" s="31"/>
      <c r="B492" s="31"/>
      <c r="C492" s="31"/>
      <c r="D492" s="4"/>
      <c r="E492" s="24"/>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c r="CF492" s="26"/>
      <c r="CG492" s="4"/>
      <c r="CH492" s="37"/>
      <c r="CI492" s="37"/>
    </row>
    <row r="493" spans="1:87" ht="15" customHeight="1" x14ac:dyDescent="0.25">
      <c r="A493" s="31"/>
      <c r="B493" s="31"/>
      <c r="C493" s="31"/>
      <c r="D493" s="4"/>
      <c r="E493" s="24"/>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c r="CF493" s="26"/>
      <c r="CG493" s="4"/>
      <c r="CH493" s="37"/>
      <c r="CI493" s="37"/>
    </row>
    <row r="494" spans="1:87" ht="15" customHeight="1" x14ac:dyDescent="0.25">
      <c r="A494" s="31"/>
      <c r="B494" s="31"/>
      <c r="C494" s="31"/>
      <c r="D494" s="4"/>
      <c r="E494" s="24"/>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c r="CF494" s="26"/>
      <c r="CG494" s="4"/>
      <c r="CH494" s="37"/>
      <c r="CI494" s="37"/>
    </row>
    <row r="495" spans="1:87" ht="15" customHeight="1" x14ac:dyDescent="0.25">
      <c r="A495" s="31"/>
      <c r="B495" s="31"/>
      <c r="C495" s="31"/>
      <c r="D495" s="4"/>
      <c r="E495" s="24"/>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c r="CF495" s="26"/>
      <c r="CG495" s="4"/>
      <c r="CH495" s="37"/>
      <c r="CI495" s="37"/>
    </row>
    <row r="496" spans="1:87" ht="15" customHeight="1" x14ac:dyDescent="0.25">
      <c r="A496" s="31"/>
      <c r="B496" s="31"/>
      <c r="C496" s="31"/>
      <c r="D496" s="4"/>
      <c r="E496" s="24"/>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c r="CF496" s="26"/>
      <c r="CG496" s="4"/>
      <c r="CH496" s="37"/>
      <c r="CI496" s="37"/>
    </row>
    <row r="497" spans="1:87" ht="15" customHeight="1" x14ac:dyDescent="0.25">
      <c r="A497" s="31"/>
      <c r="B497" s="31"/>
      <c r="C497" s="31"/>
      <c r="D497" s="4"/>
      <c r="E497" s="24"/>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c r="CF497" s="26"/>
      <c r="CG497" s="4"/>
      <c r="CH497" s="37"/>
      <c r="CI497" s="37"/>
    </row>
    <row r="498" spans="1:87" ht="15" customHeight="1" x14ac:dyDescent="0.25">
      <c r="A498" s="31"/>
      <c r="B498" s="31"/>
      <c r="C498" s="31"/>
      <c r="D498" s="4"/>
      <c r="E498" s="24"/>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c r="CF498" s="26"/>
      <c r="CG498" s="4"/>
      <c r="CH498" s="37"/>
      <c r="CI498" s="37"/>
    </row>
    <row r="499" spans="1:87" ht="15" customHeight="1" x14ac:dyDescent="0.25">
      <c r="A499" s="31"/>
      <c r="B499" s="31"/>
      <c r="C499" s="31"/>
      <c r="D499" s="4"/>
      <c r="E499" s="24"/>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c r="CF499" s="26"/>
      <c r="CG499" s="4"/>
      <c r="CH499" s="37"/>
      <c r="CI499" s="37"/>
    </row>
    <row r="500" spans="1:87" ht="15" customHeight="1" x14ac:dyDescent="0.25">
      <c r="A500" s="31"/>
      <c r="B500" s="31"/>
      <c r="C500" s="31"/>
      <c r="D500" s="4"/>
      <c r="E500" s="24"/>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c r="CF500" s="26"/>
      <c r="CG500" s="4"/>
      <c r="CH500" s="37"/>
      <c r="CI500" s="37"/>
    </row>
    <row r="501" spans="1:87" ht="15" customHeight="1" x14ac:dyDescent="0.25">
      <c r="A501" s="31"/>
      <c r="B501" s="31"/>
      <c r="C501" s="31"/>
      <c r="D501" s="4"/>
      <c r="E501" s="24"/>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c r="CF501" s="26"/>
      <c r="CG501" s="4"/>
      <c r="CH501" s="37"/>
      <c r="CI501" s="37"/>
    </row>
    <row r="502" spans="1:87" ht="15" customHeight="1" x14ac:dyDescent="0.25">
      <c r="A502" s="31"/>
      <c r="B502" s="31"/>
      <c r="C502" s="31"/>
      <c r="D502" s="4"/>
      <c r="E502" s="24"/>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c r="CB502" s="25"/>
      <c r="CC502" s="25"/>
      <c r="CD502" s="25"/>
      <c r="CE502" s="25"/>
      <c r="CF502" s="26"/>
      <c r="CG502" s="4"/>
      <c r="CH502" s="37"/>
      <c r="CI502" s="37"/>
    </row>
    <row r="503" spans="1:87" ht="15" customHeight="1" x14ac:dyDescent="0.25">
      <c r="A503" s="31"/>
      <c r="B503" s="31"/>
      <c r="C503" s="31"/>
      <c r="D503" s="4"/>
      <c r="E503" s="24"/>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c r="CB503" s="25"/>
      <c r="CC503" s="25"/>
      <c r="CD503" s="25"/>
      <c r="CE503" s="25"/>
      <c r="CF503" s="26"/>
      <c r="CG503" s="4"/>
      <c r="CH503" s="37"/>
      <c r="CI503" s="37"/>
    </row>
    <row r="504" spans="1:87" ht="15" customHeight="1" x14ac:dyDescent="0.25">
      <c r="A504" s="31"/>
      <c r="B504" s="31"/>
      <c r="C504" s="31"/>
      <c r="D504" s="4"/>
      <c r="E504" s="24"/>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c r="CB504" s="25"/>
      <c r="CC504" s="25"/>
      <c r="CD504" s="25"/>
      <c r="CE504" s="25"/>
      <c r="CF504" s="26"/>
      <c r="CG504" s="4"/>
      <c r="CH504" s="37"/>
      <c r="CI504" s="37"/>
    </row>
    <row r="505" spans="1:87" ht="15" customHeight="1" x14ac:dyDescent="0.25">
      <c r="A505" s="31"/>
      <c r="B505" s="31"/>
      <c r="C505" s="31"/>
      <c r="D505" s="4"/>
      <c r="E505" s="24"/>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c r="CB505" s="25"/>
      <c r="CC505" s="25"/>
      <c r="CD505" s="25"/>
      <c r="CE505" s="25"/>
      <c r="CF505" s="26"/>
      <c r="CG505" s="4"/>
      <c r="CH505" s="37"/>
      <c r="CI505" s="37"/>
    </row>
    <row r="506" spans="1:87" ht="15" customHeight="1" x14ac:dyDescent="0.25">
      <c r="A506" s="31"/>
      <c r="B506" s="31"/>
      <c r="C506" s="31"/>
      <c r="D506" s="4"/>
      <c r="E506" s="24"/>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c r="CB506" s="25"/>
      <c r="CC506" s="25"/>
      <c r="CD506" s="25"/>
      <c r="CE506" s="25"/>
      <c r="CF506" s="26"/>
      <c r="CG506" s="4"/>
      <c r="CH506" s="37"/>
      <c r="CI506" s="37"/>
    </row>
    <row r="507" spans="1:87" ht="15" customHeight="1" x14ac:dyDescent="0.25">
      <c r="A507" s="31"/>
      <c r="B507" s="31"/>
      <c r="C507" s="31"/>
      <c r="D507" s="4"/>
      <c r="E507" s="24"/>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c r="CB507" s="25"/>
      <c r="CC507" s="25"/>
      <c r="CD507" s="25"/>
      <c r="CE507" s="25"/>
      <c r="CF507" s="26"/>
      <c r="CG507" s="4"/>
      <c r="CH507" s="37"/>
      <c r="CI507" s="37"/>
    </row>
    <row r="508" spans="1:87" ht="15" customHeight="1" x14ac:dyDescent="0.25">
      <c r="A508" s="31"/>
      <c r="B508" s="31"/>
      <c r="C508" s="31"/>
      <c r="D508" s="4"/>
      <c r="E508" s="24"/>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25"/>
      <c r="CE508" s="25"/>
      <c r="CF508" s="26"/>
      <c r="CG508" s="4"/>
      <c r="CH508" s="37"/>
      <c r="CI508" s="37"/>
    </row>
    <row r="509" spans="1:87" ht="15" customHeight="1" x14ac:dyDescent="0.25">
      <c r="A509" s="31"/>
      <c r="B509" s="31"/>
      <c r="C509" s="31"/>
      <c r="D509" s="4"/>
      <c r="E509" s="24"/>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c r="CB509" s="25"/>
      <c r="CC509" s="25"/>
      <c r="CD509" s="25"/>
      <c r="CE509" s="25"/>
      <c r="CF509" s="26"/>
      <c r="CG509" s="4"/>
      <c r="CH509" s="37"/>
      <c r="CI509" s="37"/>
    </row>
    <row r="510" spans="1:87" ht="15" customHeight="1" x14ac:dyDescent="0.25">
      <c r="A510" s="31"/>
      <c r="B510" s="31"/>
      <c r="C510" s="31"/>
      <c r="D510" s="4"/>
      <c r="E510" s="24"/>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c r="CB510" s="25"/>
      <c r="CC510" s="25"/>
      <c r="CD510" s="25"/>
      <c r="CE510" s="25"/>
      <c r="CF510" s="26"/>
      <c r="CG510" s="4"/>
      <c r="CH510" s="37"/>
      <c r="CI510" s="37"/>
    </row>
    <row r="511" spans="1:87" ht="15" customHeight="1" x14ac:dyDescent="0.25">
      <c r="A511" s="31"/>
      <c r="B511" s="31"/>
      <c r="C511" s="31"/>
      <c r="D511" s="4"/>
      <c r="E511" s="24"/>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c r="CB511" s="25"/>
      <c r="CC511" s="25"/>
      <c r="CD511" s="25"/>
      <c r="CE511" s="25"/>
      <c r="CF511" s="26"/>
      <c r="CG511" s="4"/>
      <c r="CH511" s="37"/>
      <c r="CI511" s="37"/>
    </row>
    <row r="512" spans="1:87" ht="15" customHeight="1" x14ac:dyDescent="0.25">
      <c r="A512" s="31"/>
      <c r="B512" s="31"/>
      <c r="C512" s="31"/>
      <c r="D512" s="4"/>
      <c r="E512" s="24"/>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c r="CB512" s="25"/>
      <c r="CC512" s="25"/>
      <c r="CD512" s="25"/>
      <c r="CE512" s="25"/>
      <c r="CF512" s="26"/>
      <c r="CG512" s="4"/>
      <c r="CH512" s="37"/>
      <c r="CI512" s="37"/>
    </row>
    <row r="513" spans="1:87" ht="15" customHeight="1" x14ac:dyDescent="0.25">
      <c r="A513" s="31"/>
      <c r="B513" s="31"/>
      <c r="C513" s="31"/>
      <c r="D513" s="4"/>
      <c r="E513" s="24"/>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c r="CB513" s="25"/>
      <c r="CC513" s="25"/>
      <c r="CD513" s="25"/>
      <c r="CE513" s="25"/>
      <c r="CF513" s="26"/>
      <c r="CG513" s="4"/>
      <c r="CH513" s="37"/>
      <c r="CI513" s="37"/>
    </row>
    <row r="514" spans="1:87" ht="15" customHeight="1" x14ac:dyDescent="0.25">
      <c r="A514" s="31"/>
      <c r="B514" s="31"/>
      <c r="C514" s="31"/>
      <c r="D514" s="4"/>
      <c r="E514" s="24"/>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c r="CB514" s="25"/>
      <c r="CC514" s="25"/>
      <c r="CD514" s="25"/>
      <c r="CE514" s="25"/>
      <c r="CF514" s="26"/>
      <c r="CG514" s="4"/>
      <c r="CH514" s="37"/>
      <c r="CI514" s="37"/>
    </row>
    <row r="515" spans="1:87" ht="15" customHeight="1" x14ac:dyDescent="0.25">
      <c r="A515" s="31"/>
      <c r="B515" s="31"/>
      <c r="C515" s="31"/>
      <c r="D515" s="4"/>
      <c r="E515" s="24"/>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c r="CB515" s="25"/>
      <c r="CC515" s="25"/>
      <c r="CD515" s="25"/>
      <c r="CE515" s="25"/>
      <c r="CF515" s="26"/>
      <c r="CG515" s="4"/>
      <c r="CH515" s="37"/>
      <c r="CI515" s="37"/>
    </row>
    <row r="516" spans="1:87" ht="15" customHeight="1" x14ac:dyDescent="0.25">
      <c r="A516" s="31"/>
      <c r="B516" s="31"/>
      <c r="C516" s="31"/>
      <c r="D516" s="4"/>
      <c r="E516" s="24"/>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c r="CB516" s="25"/>
      <c r="CC516" s="25"/>
      <c r="CD516" s="25"/>
      <c r="CE516" s="25"/>
      <c r="CF516" s="26"/>
      <c r="CG516" s="4"/>
      <c r="CH516" s="37"/>
      <c r="CI516" s="37"/>
    </row>
    <row r="517" spans="1:87" ht="15" customHeight="1" x14ac:dyDescent="0.25">
      <c r="A517" s="31"/>
      <c r="B517" s="31"/>
      <c r="C517" s="31"/>
      <c r="D517" s="4"/>
      <c r="E517" s="24"/>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c r="CB517" s="25"/>
      <c r="CC517" s="25"/>
      <c r="CD517" s="25"/>
      <c r="CE517" s="25"/>
      <c r="CF517" s="26"/>
      <c r="CG517" s="4"/>
      <c r="CH517" s="37"/>
      <c r="CI517" s="37"/>
    </row>
    <row r="518" spans="1:87" ht="15" customHeight="1" x14ac:dyDescent="0.25">
      <c r="A518" s="31"/>
      <c r="B518" s="31"/>
      <c r="C518" s="31"/>
      <c r="D518" s="4"/>
      <c r="E518" s="24"/>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c r="CB518" s="25"/>
      <c r="CC518" s="25"/>
      <c r="CD518" s="25"/>
      <c r="CE518" s="25"/>
      <c r="CF518" s="26"/>
      <c r="CG518" s="4"/>
      <c r="CH518" s="37"/>
      <c r="CI518" s="37"/>
    </row>
    <row r="519" spans="1:87" ht="15" customHeight="1" x14ac:dyDescent="0.25">
      <c r="A519" s="31"/>
      <c r="B519" s="31"/>
      <c r="C519" s="31"/>
      <c r="D519" s="4"/>
      <c r="E519" s="24"/>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c r="CB519" s="25"/>
      <c r="CC519" s="25"/>
      <c r="CD519" s="25"/>
      <c r="CE519" s="25"/>
      <c r="CF519" s="26"/>
      <c r="CG519" s="4"/>
      <c r="CH519" s="37"/>
      <c r="CI519" s="37"/>
    </row>
    <row r="520" spans="1:87" ht="15" customHeight="1" x14ac:dyDescent="0.25">
      <c r="A520" s="31"/>
      <c r="B520" s="31"/>
      <c r="C520" s="31"/>
      <c r="D520" s="4"/>
      <c r="E520" s="24"/>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c r="CB520" s="25"/>
      <c r="CC520" s="25"/>
      <c r="CD520" s="25"/>
      <c r="CE520" s="25"/>
      <c r="CF520" s="26"/>
      <c r="CG520" s="4"/>
      <c r="CH520" s="37"/>
      <c r="CI520" s="37"/>
    </row>
    <row r="521" spans="1:87" ht="15" customHeight="1" x14ac:dyDescent="0.25">
      <c r="A521" s="31"/>
      <c r="B521" s="31"/>
      <c r="C521" s="31"/>
      <c r="D521" s="4"/>
      <c r="E521" s="24"/>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25"/>
      <c r="CE521" s="25"/>
      <c r="CF521" s="26"/>
      <c r="CG521" s="4"/>
      <c r="CH521" s="37"/>
      <c r="CI521" s="37"/>
    </row>
    <row r="522" spans="1:87" ht="15" customHeight="1" x14ac:dyDescent="0.25">
      <c r="A522" s="31"/>
      <c r="B522" s="31"/>
      <c r="C522" s="31"/>
      <c r="D522" s="4"/>
      <c r="E522" s="24"/>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25"/>
      <c r="CE522" s="25"/>
      <c r="CF522" s="26"/>
      <c r="CG522" s="4"/>
      <c r="CH522" s="37"/>
      <c r="CI522" s="37"/>
    </row>
    <row r="523" spans="1:87" ht="15" customHeight="1" x14ac:dyDescent="0.25">
      <c r="A523" s="31"/>
      <c r="B523" s="31"/>
      <c r="C523" s="31"/>
      <c r="D523" s="4"/>
      <c r="E523" s="24"/>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c r="CB523" s="25"/>
      <c r="CC523" s="25"/>
      <c r="CD523" s="25"/>
      <c r="CE523" s="25"/>
      <c r="CF523" s="26"/>
      <c r="CG523" s="4"/>
      <c r="CH523" s="37"/>
      <c r="CI523" s="37"/>
    </row>
    <row r="524" spans="1:87" ht="15" customHeight="1" x14ac:dyDescent="0.25">
      <c r="A524" s="31"/>
      <c r="B524" s="31"/>
      <c r="C524" s="31"/>
      <c r="D524" s="4"/>
      <c r="E524" s="24"/>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c r="CB524" s="25"/>
      <c r="CC524" s="25"/>
      <c r="CD524" s="25"/>
      <c r="CE524" s="25"/>
      <c r="CF524" s="26"/>
      <c r="CG524" s="4"/>
      <c r="CH524" s="37"/>
      <c r="CI524" s="37"/>
    </row>
    <row r="525" spans="1:87" ht="15" customHeight="1" x14ac:dyDescent="0.25">
      <c r="A525" s="31"/>
      <c r="B525" s="31"/>
      <c r="C525" s="31"/>
      <c r="D525" s="4"/>
      <c r="E525" s="24"/>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c r="CB525" s="25"/>
      <c r="CC525" s="25"/>
      <c r="CD525" s="25"/>
      <c r="CE525" s="25"/>
      <c r="CF525" s="26"/>
      <c r="CG525" s="4"/>
      <c r="CH525" s="37"/>
      <c r="CI525" s="37"/>
    </row>
    <row r="526" spans="1:87" ht="15" customHeight="1" x14ac:dyDescent="0.25">
      <c r="A526" s="31"/>
      <c r="B526" s="31"/>
      <c r="C526" s="31"/>
      <c r="D526" s="4"/>
      <c r="E526" s="24"/>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c r="CB526" s="25"/>
      <c r="CC526" s="25"/>
      <c r="CD526" s="25"/>
      <c r="CE526" s="25"/>
      <c r="CF526" s="26"/>
      <c r="CG526" s="4"/>
      <c r="CH526" s="37"/>
      <c r="CI526" s="37"/>
    </row>
    <row r="527" spans="1:87" ht="15" customHeight="1" x14ac:dyDescent="0.25">
      <c r="A527" s="31"/>
      <c r="B527" s="31"/>
      <c r="C527" s="31"/>
      <c r="D527" s="4"/>
      <c r="E527" s="24"/>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c r="CB527" s="25"/>
      <c r="CC527" s="25"/>
      <c r="CD527" s="25"/>
      <c r="CE527" s="25"/>
      <c r="CF527" s="26"/>
      <c r="CG527" s="4"/>
      <c r="CH527" s="37"/>
      <c r="CI527" s="37"/>
    </row>
    <row r="528" spans="1:87" ht="15" customHeight="1" x14ac:dyDescent="0.25">
      <c r="A528" s="31"/>
      <c r="B528" s="31"/>
      <c r="C528" s="31"/>
      <c r="D528" s="4"/>
      <c r="E528" s="24"/>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c r="CB528" s="25"/>
      <c r="CC528" s="25"/>
      <c r="CD528" s="25"/>
      <c r="CE528" s="25"/>
      <c r="CF528" s="26"/>
      <c r="CG528" s="4"/>
      <c r="CH528" s="37"/>
      <c r="CI528" s="37"/>
    </row>
    <row r="529" spans="1:87" ht="15" customHeight="1" x14ac:dyDescent="0.25">
      <c r="A529" s="31"/>
      <c r="B529" s="31"/>
      <c r="C529" s="31"/>
      <c r="D529" s="4"/>
      <c r="E529" s="24"/>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25"/>
      <c r="CE529" s="25"/>
      <c r="CF529" s="26"/>
      <c r="CG529" s="4"/>
      <c r="CH529" s="37"/>
      <c r="CI529" s="37"/>
    </row>
    <row r="530" spans="1:87" ht="15" customHeight="1" x14ac:dyDescent="0.25">
      <c r="A530" s="31"/>
      <c r="B530" s="31"/>
      <c r="C530" s="31"/>
      <c r="D530" s="4"/>
      <c r="E530" s="24"/>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c r="CB530" s="25"/>
      <c r="CC530" s="25"/>
      <c r="CD530" s="25"/>
      <c r="CE530" s="25"/>
      <c r="CF530" s="26"/>
      <c r="CG530" s="4"/>
      <c r="CH530" s="37"/>
      <c r="CI530" s="37"/>
    </row>
    <row r="531" spans="1:87" ht="15" customHeight="1" x14ac:dyDescent="0.25">
      <c r="A531" s="31"/>
      <c r="B531" s="31"/>
      <c r="C531" s="31"/>
      <c r="D531" s="4"/>
      <c r="E531" s="24"/>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c r="CB531" s="25"/>
      <c r="CC531" s="25"/>
      <c r="CD531" s="25"/>
      <c r="CE531" s="25"/>
      <c r="CF531" s="26"/>
      <c r="CG531" s="4"/>
      <c r="CH531" s="37"/>
      <c r="CI531" s="37"/>
    </row>
    <row r="532" spans="1:87" ht="15" customHeight="1" x14ac:dyDescent="0.25">
      <c r="A532" s="31"/>
      <c r="B532" s="31"/>
      <c r="C532" s="31"/>
      <c r="D532" s="4"/>
      <c r="E532" s="24"/>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c r="CB532" s="25"/>
      <c r="CC532" s="25"/>
      <c r="CD532" s="25"/>
      <c r="CE532" s="25"/>
      <c r="CF532" s="26"/>
      <c r="CG532" s="4"/>
      <c r="CH532" s="37"/>
      <c r="CI532" s="37"/>
    </row>
    <row r="533" spans="1:87" ht="15" customHeight="1" x14ac:dyDescent="0.25">
      <c r="A533" s="31"/>
      <c r="B533" s="31"/>
      <c r="C533" s="31"/>
      <c r="D533" s="4"/>
      <c r="E533" s="24"/>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c r="CB533" s="25"/>
      <c r="CC533" s="25"/>
      <c r="CD533" s="25"/>
      <c r="CE533" s="25"/>
      <c r="CF533" s="26"/>
      <c r="CG533" s="4"/>
      <c r="CH533" s="37"/>
      <c r="CI533" s="37"/>
    </row>
    <row r="534" spans="1:87" ht="15" customHeight="1" x14ac:dyDescent="0.25">
      <c r="A534" s="31"/>
      <c r="B534" s="31"/>
      <c r="C534" s="31"/>
      <c r="D534" s="4"/>
      <c r="E534" s="24"/>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c r="CB534" s="25"/>
      <c r="CC534" s="25"/>
      <c r="CD534" s="25"/>
      <c r="CE534" s="25"/>
      <c r="CF534" s="26"/>
      <c r="CG534" s="4"/>
      <c r="CH534" s="37"/>
      <c r="CI534" s="37"/>
    </row>
    <row r="535" spans="1:87" ht="15" customHeight="1" x14ac:dyDescent="0.25">
      <c r="A535" s="31"/>
      <c r="B535" s="31"/>
      <c r="C535" s="31"/>
      <c r="D535" s="4"/>
      <c r="E535" s="24"/>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c r="CB535" s="25"/>
      <c r="CC535" s="25"/>
      <c r="CD535" s="25"/>
      <c r="CE535" s="25"/>
      <c r="CF535" s="26"/>
      <c r="CG535" s="4"/>
      <c r="CH535" s="37"/>
      <c r="CI535" s="37"/>
    </row>
    <row r="536" spans="1:87" ht="15" customHeight="1" x14ac:dyDescent="0.25">
      <c r="A536" s="31"/>
      <c r="B536" s="31"/>
      <c r="C536" s="31"/>
      <c r="D536" s="4"/>
      <c r="E536" s="24"/>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c r="CB536" s="25"/>
      <c r="CC536" s="25"/>
      <c r="CD536" s="25"/>
      <c r="CE536" s="25"/>
      <c r="CF536" s="26"/>
      <c r="CG536" s="4"/>
      <c r="CH536" s="37"/>
      <c r="CI536" s="37"/>
    </row>
    <row r="537" spans="1:87" ht="15" customHeight="1" x14ac:dyDescent="0.25">
      <c r="A537" s="31"/>
      <c r="B537" s="31"/>
      <c r="C537" s="31"/>
      <c r="D537" s="4"/>
      <c r="E537" s="24"/>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c r="CB537" s="25"/>
      <c r="CC537" s="25"/>
      <c r="CD537" s="25"/>
      <c r="CE537" s="25"/>
      <c r="CF537" s="26"/>
      <c r="CG537" s="4"/>
      <c r="CH537" s="37"/>
      <c r="CI537" s="37"/>
    </row>
    <row r="538" spans="1:87" ht="15" customHeight="1" x14ac:dyDescent="0.25">
      <c r="A538" s="31"/>
      <c r="B538" s="31"/>
      <c r="C538" s="31"/>
      <c r="D538" s="4"/>
      <c r="E538" s="24"/>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c r="CB538" s="25"/>
      <c r="CC538" s="25"/>
      <c r="CD538" s="25"/>
      <c r="CE538" s="25"/>
      <c r="CF538" s="26"/>
      <c r="CG538" s="4"/>
      <c r="CH538" s="37"/>
      <c r="CI538" s="37"/>
    </row>
    <row r="539" spans="1:87" ht="15" customHeight="1" x14ac:dyDescent="0.25">
      <c r="A539" s="31"/>
      <c r="B539" s="31"/>
      <c r="C539" s="31"/>
      <c r="D539" s="4"/>
      <c r="E539" s="24"/>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c r="CB539" s="25"/>
      <c r="CC539" s="25"/>
      <c r="CD539" s="25"/>
      <c r="CE539" s="25"/>
      <c r="CF539" s="26"/>
      <c r="CG539" s="4"/>
      <c r="CH539" s="37"/>
      <c r="CI539" s="37"/>
    </row>
    <row r="540" spans="1:87" ht="15" customHeight="1" x14ac:dyDescent="0.25">
      <c r="A540" s="31"/>
      <c r="B540" s="31"/>
      <c r="C540" s="31"/>
      <c r="D540" s="4"/>
      <c r="E540" s="24"/>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c r="CB540" s="25"/>
      <c r="CC540" s="25"/>
      <c r="CD540" s="25"/>
      <c r="CE540" s="25"/>
      <c r="CF540" s="26"/>
      <c r="CG540" s="4"/>
      <c r="CH540" s="37"/>
      <c r="CI540" s="37"/>
    </row>
    <row r="541" spans="1:87" ht="15" customHeight="1" x14ac:dyDescent="0.25">
      <c r="A541" s="31"/>
      <c r="B541" s="31"/>
      <c r="C541" s="31"/>
      <c r="D541" s="4"/>
      <c r="E541" s="24"/>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c r="CB541" s="25"/>
      <c r="CC541" s="25"/>
      <c r="CD541" s="25"/>
      <c r="CE541" s="25"/>
      <c r="CF541" s="26"/>
      <c r="CG541" s="4"/>
      <c r="CH541" s="37"/>
      <c r="CI541" s="37"/>
    </row>
    <row r="542" spans="1:87" ht="15" customHeight="1" x14ac:dyDescent="0.25">
      <c r="A542" s="31"/>
      <c r="B542" s="31"/>
      <c r="C542" s="31"/>
      <c r="D542" s="4"/>
      <c r="E542" s="24"/>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c r="CB542" s="25"/>
      <c r="CC542" s="25"/>
      <c r="CD542" s="25"/>
      <c r="CE542" s="25"/>
      <c r="CF542" s="26"/>
      <c r="CG542" s="4"/>
      <c r="CH542" s="37"/>
      <c r="CI542" s="37"/>
    </row>
    <row r="543" spans="1:87" ht="15" customHeight="1" x14ac:dyDescent="0.25">
      <c r="A543" s="31"/>
      <c r="B543" s="31"/>
      <c r="C543" s="31"/>
      <c r="D543" s="4"/>
      <c r="E543" s="24"/>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c r="CB543" s="25"/>
      <c r="CC543" s="25"/>
      <c r="CD543" s="25"/>
      <c r="CE543" s="25"/>
      <c r="CF543" s="26"/>
      <c r="CG543" s="4"/>
      <c r="CH543" s="37"/>
      <c r="CI543" s="37"/>
    </row>
    <row r="544" spans="1:87" ht="15" customHeight="1" x14ac:dyDescent="0.25">
      <c r="A544" s="31"/>
      <c r="B544" s="31"/>
      <c r="C544" s="31"/>
      <c r="D544" s="4"/>
      <c r="E544" s="24"/>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c r="CB544" s="25"/>
      <c r="CC544" s="25"/>
      <c r="CD544" s="25"/>
      <c r="CE544" s="25"/>
      <c r="CF544" s="26"/>
      <c r="CG544" s="4"/>
      <c r="CH544" s="37"/>
      <c r="CI544" s="37"/>
    </row>
    <row r="545" spans="1:87" ht="15" customHeight="1" x14ac:dyDescent="0.25">
      <c r="A545" s="31"/>
      <c r="B545" s="31"/>
      <c r="C545" s="31"/>
      <c r="D545" s="4"/>
      <c r="E545" s="24"/>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c r="CB545" s="25"/>
      <c r="CC545" s="25"/>
      <c r="CD545" s="25"/>
      <c r="CE545" s="25"/>
      <c r="CF545" s="26"/>
      <c r="CG545" s="4"/>
      <c r="CH545" s="37"/>
      <c r="CI545" s="37"/>
    </row>
    <row r="546" spans="1:87" ht="15" customHeight="1" x14ac:dyDescent="0.25">
      <c r="A546" s="31"/>
      <c r="B546" s="31"/>
      <c r="C546" s="31"/>
      <c r="D546" s="4"/>
      <c r="E546" s="24"/>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c r="CB546" s="25"/>
      <c r="CC546" s="25"/>
      <c r="CD546" s="25"/>
      <c r="CE546" s="25"/>
      <c r="CF546" s="26"/>
      <c r="CG546" s="4"/>
      <c r="CH546" s="37"/>
      <c r="CI546" s="37"/>
    </row>
    <row r="547" spans="1:87" ht="15" customHeight="1" x14ac:dyDescent="0.25">
      <c r="A547" s="31"/>
      <c r="B547" s="31"/>
      <c r="C547" s="31"/>
      <c r="D547" s="4"/>
      <c r="E547" s="24"/>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c r="CB547" s="25"/>
      <c r="CC547" s="25"/>
      <c r="CD547" s="25"/>
      <c r="CE547" s="25"/>
      <c r="CF547" s="26"/>
      <c r="CG547" s="4"/>
      <c r="CH547" s="37"/>
      <c r="CI547" s="37"/>
    </row>
    <row r="548" spans="1:87" ht="15" customHeight="1" x14ac:dyDescent="0.25">
      <c r="A548" s="31"/>
      <c r="B548" s="31"/>
      <c r="C548" s="31"/>
      <c r="D548" s="4"/>
      <c r="E548" s="24"/>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c r="CB548" s="25"/>
      <c r="CC548" s="25"/>
      <c r="CD548" s="25"/>
      <c r="CE548" s="25"/>
      <c r="CF548" s="26"/>
      <c r="CG548" s="4"/>
      <c r="CH548" s="37"/>
      <c r="CI548" s="37"/>
    </row>
    <row r="549" spans="1:87" ht="15" customHeight="1" x14ac:dyDescent="0.25">
      <c r="A549" s="31"/>
      <c r="B549" s="31"/>
      <c r="C549" s="31"/>
      <c r="D549" s="4"/>
      <c r="E549" s="24"/>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c r="CB549" s="25"/>
      <c r="CC549" s="25"/>
      <c r="CD549" s="25"/>
      <c r="CE549" s="25"/>
      <c r="CF549" s="26"/>
      <c r="CG549" s="4"/>
      <c r="CH549" s="37"/>
      <c r="CI549" s="37"/>
    </row>
    <row r="550" spans="1:87" ht="15" customHeight="1" x14ac:dyDescent="0.25">
      <c r="A550" s="31"/>
      <c r="B550" s="31"/>
      <c r="C550" s="31"/>
      <c r="D550" s="4"/>
      <c r="E550" s="24"/>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c r="CB550" s="25"/>
      <c r="CC550" s="25"/>
      <c r="CD550" s="25"/>
      <c r="CE550" s="25"/>
      <c r="CF550" s="26"/>
      <c r="CG550" s="4"/>
      <c r="CH550" s="37"/>
      <c r="CI550" s="37"/>
    </row>
    <row r="551" spans="1:87" ht="15" customHeight="1" x14ac:dyDescent="0.25">
      <c r="A551" s="31"/>
      <c r="B551" s="31"/>
      <c r="C551" s="31"/>
      <c r="D551" s="4"/>
      <c r="E551" s="24"/>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c r="CB551" s="25"/>
      <c r="CC551" s="25"/>
      <c r="CD551" s="25"/>
      <c r="CE551" s="25"/>
      <c r="CF551" s="26"/>
      <c r="CG551" s="4"/>
      <c r="CH551" s="37"/>
      <c r="CI551" s="37"/>
    </row>
    <row r="552" spans="1:87" ht="15" customHeight="1" x14ac:dyDescent="0.25">
      <c r="A552" s="31"/>
      <c r="B552" s="31"/>
      <c r="C552" s="31"/>
      <c r="D552" s="4"/>
      <c r="E552" s="24"/>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c r="CB552" s="25"/>
      <c r="CC552" s="25"/>
      <c r="CD552" s="25"/>
      <c r="CE552" s="25"/>
      <c r="CF552" s="26"/>
      <c r="CG552" s="4"/>
      <c r="CH552" s="37"/>
      <c r="CI552" s="37"/>
    </row>
    <row r="553" spans="1:87" ht="15" customHeight="1" x14ac:dyDescent="0.25">
      <c r="A553" s="31"/>
      <c r="B553" s="31"/>
      <c r="C553" s="31"/>
      <c r="D553" s="4"/>
      <c r="E553" s="24"/>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c r="CF553" s="26"/>
      <c r="CG553" s="4"/>
      <c r="CH553" s="37"/>
      <c r="CI553" s="37"/>
    </row>
    <row r="554" spans="1:87" ht="15" customHeight="1" x14ac:dyDescent="0.25">
      <c r="A554" s="31"/>
      <c r="B554" s="31"/>
      <c r="C554" s="31"/>
      <c r="D554" s="4"/>
      <c r="E554" s="24"/>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c r="CB554" s="25"/>
      <c r="CC554" s="25"/>
      <c r="CD554" s="25"/>
      <c r="CE554" s="25"/>
      <c r="CF554" s="26"/>
      <c r="CG554" s="4"/>
      <c r="CH554" s="37"/>
      <c r="CI554" s="37"/>
    </row>
    <row r="555" spans="1:87" ht="15" customHeight="1" x14ac:dyDescent="0.25">
      <c r="A555" s="31"/>
      <c r="B555" s="31"/>
      <c r="C555" s="31"/>
      <c r="D555" s="4"/>
      <c r="E555" s="24"/>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c r="CF555" s="26"/>
      <c r="CG555" s="4"/>
      <c r="CH555" s="37"/>
      <c r="CI555" s="37"/>
    </row>
    <row r="556" spans="1:87" ht="15" customHeight="1" x14ac:dyDescent="0.25">
      <c r="A556" s="31"/>
      <c r="B556" s="31"/>
      <c r="C556" s="31"/>
      <c r="D556" s="4"/>
      <c r="E556" s="24"/>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c r="CB556" s="25"/>
      <c r="CC556" s="25"/>
      <c r="CD556" s="25"/>
      <c r="CE556" s="25"/>
      <c r="CF556" s="26"/>
      <c r="CG556" s="4"/>
      <c r="CH556" s="37"/>
      <c r="CI556" s="37"/>
    </row>
    <row r="557" spans="1:87" ht="15" customHeight="1" x14ac:dyDescent="0.25">
      <c r="A557" s="31"/>
      <c r="B557" s="31"/>
      <c r="C557" s="31"/>
      <c r="D557" s="4"/>
      <c r="E557" s="24"/>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c r="CB557" s="25"/>
      <c r="CC557" s="25"/>
      <c r="CD557" s="25"/>
      <c r="CE557" s="25"/>
      <c r="CF557" s="26"/>
      <c r="CG557" s="4"/>
      <c r="CH557" s="37"/>
      <c r="CI557" s="37"/>
    </row>
    <row r="558" spans="1:87" ht="15" customHeight="1" x14ac:dyDescent="0.25">
      <c r="A558" s="31"/>
      <c r="B558" s="31"/>
      <c r="C558" s="31"/>
      <c r="D558" s="4"/>
      <c r="E558" s="24"/>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c r="CB558" s="25"/>
      <c r="CC558" s="25"/>
      <c r="CD558" s="25"/>
      <c r="CE558" s="25"/>
      <c r="CF558" s="26"/>
      <c r="CG558" s="4"/>
      <c r="CH558" s="37"/>
      <c r="CI558" s="37"/>
    </row>
    <row r="559" spans="1:87" ht="15" customHeight="1" x14ac:dyDescent="0.25">
      <c r="A559" s="31"/>
      <c r="B559" s="31"/>
      <c r="C559" s="31"/>
      <c r="D559" s="4"/>
      <c r="E559" s="24"/>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c r="CB559" s="25"/>
      <c r="CC559" s="25"/>
      <c r="CD559" s="25"/>
      <c r="CE559" s="25"/>
      <c r="CF559" s="26"/>
      <c r="CG559" s="4"/>
      <c r="CH559" s="37"/>
      <c r="CI559" s="37"/>
    </row>
    <row r="560" spans="1:87" ht="15" customHeight="1" x14ac:dyDescent="0.25">
      <c r="A560" s="31"/>
      <c r="B560" s="31"/>
      <c r="C560" s="31"/>
      <c r="D560" s="4"/>
      <c r="E560" s="24"/>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c r="CB560" s="25"/>
      <c r="CC560" s="25"/>
      <c r="CD560" s="25"/>
      <c r="CE560" s="25"/>
      <c r="CF560" s="26"/>
      <c r="CG560" s="4"/>
      <c r="CH560" s="37"/>
      <c r="CI560" s="37"/>
    </row>
    <row r="561" spans="1:87" ht="15" customHeight="1" x14ac:dyDescent="0.25">
      <c r="A561" s="31"/>
      <c r="B561" s="31"/>
      <c r="C561" s="31"/>
      <c r="D561" s="4"/>
      <c r="E561" s="24"/>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c r="CB561" s="25"/>
      <c r="CC561" s="25"/>
      <c r="CD561" s="25"/>
      <c r="CE561" s="25"/>
      <c r="CF561" s="26"/>
      <c r="CG561" s="4"/>
      <c r="CH561" s="37"/>
      <c r="CI561" s="37"/>
    </row>
    <row r="562" spans="1:87" ht="15" customHeight="1" x14ac:dyDescent="0.25">
      <c r="A562" s="31"/>
      <c r="B562" s="31"/>
      <c r="C562" s="31"/>
      <c r="D562" s="4"/>
      <c r="E562" s="24"/>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c r="CB562" s="25"/>
      <c r="CC562" s="25"/>
      <c r="CD562" s="25"/>
      <c r="CE562" s="25"/>
      <c r="CF562" s="26"/>
      <c r="CG562" s="4"/>
      <c r="CH562" s="37"/>
      <c r="CI562" s="37"/>
    </row>
    <row r="563" spans="1:87" ht="15" customHeight="1" x14ac:dyDescent="0.25">
      <c r="A563" s="31"/>
      <c r="B563" s="31"/>
      <c r="C563" s="31"/>
      <c r="D563" s="4"/>
      <c r="E563" s="24"/>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c r="CB563" s="25"/>
      <c r="CC563" s="25"/>
      <c r="CD563" s="25"/>
      <c r="CE563" s="25"/>
      <c r="CF563" s="26"/>
      <c r="CG563" s="4"/>
      <c r="CH563" s="37"/>
      <c r="CI563" s="37"/>
    </row>
    <row r="564" spans="1:87" ht="15" customHeight="1" x14ac:dyDescent="0.25">
      <c r="A564" s="31"/>
      <c r="B564" s="31"/>
      <c r="C564" s="31"/>
      <c r="D564" s="4"/>
      <c r="E564" s="24"/>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c r="CB564" s="25"/>
      <c r="CC564" s="25"/>
      <c r="CD564" s="25"/>
      <c r="CE564" s="25"/>
      <c r="CF564" s="26"/>
      <c r="CG564" s="4"/>
      <c r="CH564" s="37"/>
      <c r="CI564" s="37"/>
    </row>
    <row r="565" spans="1:87" ht="15" customHeight="1" x14ac:dyDescent="0.25">
      <c r="A565" s="31"/>
      <c r="B565" s="31"/>
      <c r="C565" s="31"/>
      <c r="D565" s="4"/>
      <c r="E565" s="24"/>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c r="CB565" s="25"/>
      <c r="CC565" s="25"/>
      <c r="CD565" s="25"/>
      <c r="CE565" s="25"/>
      <c r="CF565" s="26"/>
      <c r="CG565" s="4"/>
      <c r="CH565" s="37"/>
      <c r="CI565" s="37"/>
    </row>
    <row r="566" spans="1:87" ht="15" customHeight="1" x14ac:dyDescent="0.25">
      <c r="A566" s="31"/>
      <c r="B566" s="31"/>
      <c r="C566" s="31"/>
      <c r="D566" s="4"/>
      <c r="E566" s="24"/>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c r="CB566" s="25"/>
      <c r="CC566" s="25"/>
      <c r="CD566" s="25"/>
      <c r="CE566" s="25"/>
      <c r="CF566" s="26"/>
      <c r="CG566" s="4"/>
      <c r="CH566" s="37"/>
      <c r="CI566" s="37"/>
    </row>
    <row r="567" spans="1:87" ht="15" customHeight="1" x14ac:dyDescent="0.25">
      <c r="A567" s="31"/>
      <c r="B567" s="31"/>
      <c r="C567" s="31"/>
      <c r="D567" s="4"/>
      <c r="E567" s="24"/>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c r="CB567" s="25"/>
      <c r="CC567" s="25"/>
      <c r="CD567" s="25"/>
      <c r="CE567" s="25"/>
      <c r="CF567" s="26"/>
      <c r="CG567" s="4"/>
      <c r="CH567" s="37"/>
      <c r="CI567" s="37"/>
    </row>
    <row r="568" spans="1:87" ht="15" customHeight="1" x14ac:dyDescent="0.25">
      <c r="A568" s="31"/>
      <c r="B568" s="31"/>
      <c r="C568" s="31"/>
      <c r="D568" s="4"/>
      <c r="E568" s="24"/>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c r="CB568" s="25"/>
      <c r="CC568" s="25"/>
      <c r="CD568" s="25"/>
      <c r="CE568" s="25"/>
      <c r="CF568" s="26"/>
      <c r="CG568" s="4"/>
      <c r="CH568" s="37"/>
      <c r="CI568" s="37"/>
    </row>
    <row r="569" spans="1:87" ht="15" customHeight="1" x14ac:dyDescent="0.25">
      <c r="A569" s="31"/>
      <c r="B569" s="31"/>
      <c r="C569" s="31"/>
      <c r="D569" s="4"/>
      <c r="E569" s="24"/>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c r="CB569" s="25"/>
      <c r="CC569" s="25"/>
      <c r="CD569" s="25"/>
      <c r="CE569" s="25"/>
      <c r="CF569" s="26"/>
      <c r="CG569" s="4"/>
      <c r="CH569" s="37"/>
      <c r="CI569" s="37"/>
    </row>
    <row r="570" spans="1:87" ht="15" customHeight="1" x14ac:dyDescent="0.25">
      <c r="A570" s="31"/>
      <c r="B570" s="31"/>
      <c r="C570" s="31"/>
      <c r="D570" s="4"/>
      <c r="E570" s="24"/>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c r="CB570" s="25"/>
      <c r="CC570" s="25"/>
      <c r="CD570" s="25"/>
      <c r="CE570" s="25"/>
      <c r="CF570" s="26"/>
      <c r="CG570" s="4"/>
      <c r="CH570" s="37"/>
      <c r="CI570" s="37"/>
    </row>
    <row r="571" spans="1:87" ht="15" customHeight="1" x14ac:dyDescent="0.25">
      <c r="A571" s="31"/>
      <c r="B571" s="31"/>
      <c r="C571" s="31"/>
      <c r="D571" s="4"/>
      <c r="E571" s="24"/>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c r="CB571" s="25"/>
      <c r="CC571" s="25"/>
      <c r="CD571" s="25"/>
      <c r="CE571" s="25"/>
      <c r="CF571" s="26"/>
      <c r="CG571" s="4"/>
      <c r="CH571" s="37"/>
      <c r="CI571" s="37"/>
    </row>
    <row r="572" spans="1:87" ht="15" customHeight="1" x14ac:dyDescent="0.25">
      <c r="A572" s="31"/>
      <c r="B572" s="31"/>
      <c r="C572" s="31"/>
      <c r="D572" s="4"/>
      <c r="E572" s="24"/>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c r="CB572" s="25"/>
      <c r="CC572" s="25"/>
      <c r="CD572" s="25"/>
      <c r="CE572" s="25"/>
      <c r="CF572" s="26"/>
      <c r="CG572" s="4"/>
      <c r="CH572" s="37"/>
      <c r="CI572" s="37"/>
    </row>
    <row r="573" spans="1:87" ht="15" customHeight="1" x14ac:dyDescent="0.25">
      <c r="A573" s="31"/>
      <c r="B573" s="31"/>
      <c r="C573" s="31"/>
      <c r="D573" s="4"/>
      <c r="E573" s="24"/>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c r="CB573" s="25"/>
      <c r="CC573" s="25"/>
      <c r="CD573" s="25"/>
      <c r="CE573" s="25"/>
      <c r="CF573" s="26"/>
      <c r="CG573" s="4"/>
      <c r="CH573" s="37"/>
      <c r="CI573" s="37"/>
    </row>
    <row r="574" spans="1:87" ht="15" customHeight="1" x14ac:dyDescent="0.25">
      <c r="A574" s="31"/>
      <c r="B574" s="31"/>
      <c r="C574" s="31"/>
      <c r="D574" s="4"/>
      <c r="E574" s="24"/>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c r="CB574" s="25"/>
      <c r="CC574" s="25"/>
      <c r="CD574" s="25"/>
      <c r="CE574" s="25"/>
      <c r="CF574" s="26"/>
      <c r="CG574" s="4"/>
      <c r="CH574" s="37"/>
      <c r="CI574" s="37"/>
    </row>
    <row r="575" spans="1:87" ht="15" customHeight="1" x14ac:dyDescent="0.25">
      <c r="A575" s="31"/>
      <c r="B575" s="31"/>
      <c r="C575" s="31"/>
      <c r="D575" s="4"/>
      <c r="E575" s="24"/>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c r="CB575" s="25"/>
      <c r="CC575" s="25"/>
      <c r="CD575" s="25"/>
      <c r="CE575" s="25"/>
      <c r="CF575" s="26"/>
      <c r="CG575" s="4"/>
      <c r="CH575" s="37"/>
      <c r="CI575" s="37"/>
    </row>
    <row r="576" spans="1:87" ht="15" customHeight="1" x14ac:dyDescent="0.25">
      <c r="A576" s="31"/>
      <c r="B576" s="31"/>
      <c r="C576" s="31"/>
      <c r="D576" s="4"/>
      <c r="E576" s="24"/>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c r="CB576" s="25"/>
      <c r="CC576" s="25"/>
      <c r="CD576" s="25"/>
      <c r="CE576" s="25"/>
      <c r="CF576" s="26"/>
      <c r="CG576" s="4"/>
      <c r="CH576" s="37"/>
      <c r="CI576" s="37"/>
    </row>
    <row r="577" spans="1:87" ht="15" customHeight="1" x14ac:dyDescent="0.25">
      <c r="A577" s="31"/>
      <c r="B577" s="31"/>
      <c r="C577" s="31"/>
      <c r="D577" s="4"/>
      <c r="E577" s="24"/>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c r="CB577" s="25"/>
      <c r="CC577" s="25"/>
      <c r="CD577" s="25"/>
      <c r="CE577" s="25"/>
      <c r="CF577" s="26"/>
      <c r="CG577" s="4"/>
      <c r="CH577" s="37"/>
      <c r="CI577" s="37"/>
    </row>
    <row r="578" spans="1:87" ht="15" customHeight="1" x14ac:dyDescent="0.25">
      <c r="A578" s="31"/>
      <c r="B578" s="31"/>
      <c r="C578" s="31"/>
      <c r="D578" s="4"/>
      <c r="E578" s="24"/>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c r="CB578" s="25"/>
      <c r="CC578" s="25"/>
      <c r="CD578" s="25"/>
      <c r="CE578" s="25"/>
      <c r="CF578" s="26"/>
      <c r="CG578" s="4"/>
      <c r="CH578" s="37"/>
      <c r="CI578" s="37"/>
    </row>
    <row r="579" spans="1:87" ht="15" customHeight="1" x14ac:dyDescent="0.25">
      <c r="A579" s="31"/>
      <c r="B579" s="31"/>
      <c r="C579" s="31"/>
      <c r="D579" s="4"/>
      <c r="E579" s="24"/>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c r="CB579" s="25"/>
      <c r="CC579" s="25"/>
      <c r="CD579" s="25"/>
      <c r="CE579" s="25"/>
      <c r="CF579" s="26"/>
      <c r="CG579" s="4"/>
      <c r="CH579" s="37"/>
      <c r="CI579" s="37"/>
    </row>
    <row r="580" spans="1:87" ht="15" customHeight="1" x14ac:dyDescent="0.25">
      <c r="A580" s="31"/>
      <c r="B580" s="31"/>
      <c r="C580" s="31"/>
      <c r="D580" s="4"/>
      <c r="E580" s="24"/>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c r="CB580" s="25"/>
      <c r="CC580" s="25"/>
      <c r="CD580" s="25"/>
      <c r="CE580" s="25"/>
      <c r="CF580" s="26"/>
      <c r="CG580" s="4"/>
      <c r="CH580" s="37"/>
      <c r="CI580" s="37"/>
    </row>
    <row r="581" spans="1:87" ht="15" customHeight="1" x14ac:dyDescent="0.25">
      <c r="A581" s="31"/>
      <c r="B581" s="31"/>
      <c r="C581" s="31"/>
      <c r="D581" s="4"/>
      <c r="E581" s="24"/>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c r="CB581" s="25"/>
      <c r="CC581" s="25"/>
      <c r="CD581" s="25"/>
      <c r="CE581" s="25"/>
      <c r="CF581" s="26"/>
      <c r="CG581" s="4"/>
      <c r="CH581" s="37"/>
      <c r="CI581" s="37"/>
    </row>
    <row r="582" spans="1:87" ht="15" customHeight="1" x14ac:dyDescent="0.25">
      <c r="A582" s="31"/>
      <c r="B582" s="31"/>
      <c r="C582" s="31"/>
      <c r="D582" s="4"/>
      <c r="E582" s="24"/>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c r="CB582" s="25"/>
      <c r="CC582" s="25"/>
      <c r="CD582" s="25"/>
      <c r="CE582" s="25"/>
      <c r="CF582" s="26"/>
      <c r="CG582" s="4"/>
      <c r="CH582" s="37"/>
      <c r="CI582" s="37"/>
    </row>
    <row r="583" spans="1:87" ht="15" customHeight="1" x14ac:dyDescent="0.25">
      <c r="A583" s="31"/>
      <c r="B583" s="31"/>
      <c r="C583" s="31"/>
      <c r="D583" s="4"/>
      <c r="E583" s="24"/>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c r="CB583" s="25"/>
      <c r="CC583" s="25"/>
      <c r="CD583" s="25"/>
      <c r="CE583" s="25"/>
      <c r="CF583" s="26"/>
      <c r="CG583" s="4"/>
      <c r="CH583" s="37"/>
      <c r="CI583" s="37"/>
    </row>
    <row r="584" spans="1:87" ht="15" customHeight="1" x14ac:dyDescent="0.25">
      <c r="A584" s="31"/>
      <c r="B584" s="31"/>
      <c r="C584" s="31"/>
      <c r="D584" s="4"/>
      <c r="E584" s="24"/>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c r="CB584" s="25"/>
      <c r="CC584" s="25"/>
      <c r="CD584" s="25"/>
      <c r="CE584" s="25"/>
      <c r="CF584" s="26"/>
      <c r="CG584" s="4"/>
      <c r="CH584" s="37"/>
      <c r="CI584" s="37"/>
    </row>
    <row r="585" spans="1:87" ht="15" customHeight="1" x14ac:dyDescent="0.25">
      <c r="A585" s="31"/>
      <c r="B585" s="31"/>
      <c r="C585" s="31"/>
      <c r="D585" s="4"/>
      <c r="E585" s="24"/>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c r="CB585" s="25"/>
      <c r="CC585" s="25"/>
      <c r="CD585" s="25"/>
      <c r="CE585" s="25"/>
      <c r="CF585" s="26"/>
      <c r="CG585" s="4"/>
      <c r="CH585" s="37"/>
      <c r="CI585" s="37"/>
    </row>
    <row r="586" spans="1:87" ht="15" customHeight="1" x14ac:dyDescent="0.25">
      <c r="A586" s="31"/>
      <c r="B586" s="31"/>
      <c r="C586" s="31"/>
      <c r="D586" s="4"/>
      <c r="E586" s="24"/>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c r="CB586" s="25"/>
      <c r="CC586" s="25"/>
      <c r="CD586" s="25"/>
      <c r="CE586" s="25"/>
      <c r="CF586" s="26"/>
      <c r="CG586" s="4"/>
      <c r="CH586" s="37"/>
      <c r="CI586" s="37"/>
    </row>
    <row r="587" spans="1:87" ht="15" customHeight="1" x14ac:dyDescent="0.25">
      <c r="A587" s="31"/>
      <c r="B587" s="31"/>
      <c r="C587" s="31"/>
      <c r="D587" s="4"/>
      <c r="E587" s="24"/>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c r="CB587" s="25"/>
      <c r="CC587" s="25"/>
      <c r="CD587" s="25"/>
      <c r="CE587" s="25"/>
      <c r="CF587" s="26"/>
      <c r="CG587" s="4"/>
      <c r="CH587" s="37"/>
      <c r="CI587" s="37"/>
    </row>
    <row r="588" spans="1:87" ht="15" customHeight="1" x14ac:dyDescent="0.25">
      <c r="A588" s="31"/>
      <c r="B588" s="31"/>
      <c r="C588" s="31"/>
      <c r="D588" s="4"/>
      <c r="E588" s="24"/>
      <c r="F588" s="25"/>
      <c r="G588" s="25"/>
      <c r="H588" s="25"/>
      <c r="I588" s="25"/>
      <c r="J588" s="25"/>
      <c r="K588" s="25"/>
      <c r="L588" s="25"/>
      <c r="M588" s="25"/>
      <c r="N588" s="25"/>
      <c r="O588" s="25"/>
      <c r="P588" s="25"/>
      <c r="Q588" s="25"/>
      <c r="R588" s="25"/>
      <c r="S588" s="25"/>
      <c r="T588" s="25"/>
      <c r="U588" s="25"/>
      <c r="V588" s="25"/>
      <c r="W588" s="25"/>
      <c r="X588" s="25" t="s">
        <v>9</v>
      </c>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t="s">
        <v>10</v>
      </c>
      <c r="BO588" s="25"/>
      <c r="BP588" s="25"/>
      <c r="BQ588" s="25"/>
      <c r="BR588" s="25"/>
      <c r="BS588" s="25"/>
      <c r="BT588" s="25"/>
      <c r="BU588" s="25"/>
      <c r="BV588" s="25"/>
      <c r="BW588" s="25"/>
      <c r="BX588" s="25"/>
      <c r="BY588" s="25"/>
      <c r="BZ588" s="25"/>
      <c r="CA588" s="25"/>
      <c r="CB588" s="25"/>
      <c r="CC588" s="25"/>
      <c r="CD588" s="25"/>
      <c r="CE588" s="25"/>
      <c r="CF588" s="26"/>
      <c r="CG588" s="4"/>
      <c r="CH588" s="37"/>
      <c r="CI588" s="37"/>
    </row>
    <row r="589" spans="1:87" ht="15" customHeight="1" x14ac:dyDescent="0.25">
      <c r="A589" s="31"/>
      <c r="B589" s="31"/>
      <c r="C589" s="31"/>
      <c r="D589" s="4"/>
      <c r="E589" s="24"/>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c r="CB589" s="25"/>
      <c r="CC589" s="25"/>
      <c r="CD589" s="25"/>
      <c r="CE589" s="25"/>
      <c r="CF589" s="26"/>
      <c r="CG589" s="4"/>
      <c r="CH589" s="37"/>
      <c r="CI589" s="37"/>
    </row>
    <row r="590" spans="1:87" ht="15" customHeight="1" x14ac:dyDescent="0.25">
      <c r="A590" s="31"/>
      <c r="B590" s="31"/>
      <c r="C590" s="31"/>
      <c r="D590" s="4"/>
      <c r="E590" s="24"/>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c r="CB590" s="25"/>
      <c r="CC590" s="25"/>
      <c r="CD590" s="25"/>
      <c r="CE590" s="25"/>
      <c r="CF590" s="26"/>
      <c r="CG590" s="4"/>
      <c r="CH590" s="37"/>
      <c r="CI590" s="37"/>
    </row>
    <row r="591" spans="1:87" ht="15" customHeight="1" x14ac:dyDescent="0.25">
      <c r="A591" s="31"/>
      <c r="B591" s="31"/>
      <c r="C591" s="31"/>
      <c r="D591" s="4"/>
      <c r="E591" s="24"/>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c r="CB591" s="25"/>
      <c r="CC591" s="25"/>
      <c r="CD591" s="25"/>
      <c r="CE591" s="25"/>
      <c r="CF591" s="26"/>
      <c r="CG591" s="4"/>
      <c r="CH591" s="37"/>
      <c r="CI591" s="37"/>
    </row>
    <row r="592" spans="1:87" ht="15" customHeight="1" x14ac:dyDescent="0.25">
      <c r="A592" s="31"/>
      <c r="B592" s="31"/>
      <c r="C592" s="31"/>
      <c r="D592" s="4"/>
      <c r="E592" s="24"/>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c r="CB592" s="25"/>
      <c r="CC592" s="25"/>
      <c r="CD592" s="25"/>
      <c r="CE592" s="25"/>
      <c r="CF592" s="26"/>
      <c r="CG592" s="4"/>
      <c r="CH592" s="37"/>
      <c r="CI592" s="37"/>
    </row>
    <row r="593" spans="1:87" ht="15" customHeight="1" x14ac:dyDescent="0.25">
      <c r="A593" s="31"/>
      <c r="B593" s="31"/>
      <c r="C593" s="31"/>
      <c r="D593" s="4"/>
      <c r="E593" s="24"/>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c r="CB593" s="25"/>
      <c r="CC593" s="25"/>
      <c r="CD593" s="25"/>
      <c r="CE593" s="25"/>
      <c r="CF593" s="26"/>
      <c r="CG593" s="4"/>
      <c r="CH593" s="37"/>
      <c r="CI593" s="37"/>
    </row>
    <row r="594" spans="1:87" ht="15" customHeight="1" x14ac:dyDescent="0.25">
      <c r="A594" s="31"/>
      <c r="B594" s="31"/>
      <c r="C594" s="31"/>
      <c r="D594" s="4"/>
      <c r="E594" s="24"/>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c r="CB594" s="25"/>
      <c r="CC594" s="25"/>
      <c r="CD594" s="25"/>
      <c r="CE594" s="25"/>
      <c r="CF594" s="26"/>
      <c r="CG594" s="4"/>
      <c r="CH594" s="37"/>
      <c r="CI594" s="37"/>
    </row>
    <row r="595" spans="1:87" ht="15" customHeight="1" x14ac:dyDescent="0.25">
      <c r="A595" s="31"/>
      <c r="B595" s="31"/>
      <c r="C595" s="31"/>
      <c r="D595" s="4"/>
      <c r="E595" s="24"/>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c r="CB595" s="25"/>
      <c r="CC595" s="25"/>
      <c r="CD595" s="25"/>
      <c r="CE595" s="25"/>
      <c r="CF595" s="26"/>
      <c r="CG595" s="4"/>
      <c r="CH595" s="37"/>
      <c r="CI595" s="37"/>
    </row>
    <row r="596" spans="1:87" ht="15" customHeight="1" x14ac:dyDescent="0.25">
      <c r="A596" s="31"/>
      <c r="B596" s="31"/>
      <c r="C596" s="31"/>
      <c r="D596" s="4"/>
      <c r="E596" s="24"/>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c r="CB596" s="25"/>
      <c r="CC596" s="25"/>
      <c r="CD596" s="25"/>
      <c r="CE596" s="25"/>
      <c r="CF596" s="26"/>
      <c r="CG596" s="4"/>
      <c r="CH596" s="37"/>
      <c r="CI596" s="37"/>
    </row>
    <row r="597" spans="1:87" ht="15" customHeight="1" x14ac:dyDescent="0.25">
      <c r="A597" s="31"/>
      <c r="B597" s="31"/>
      <c r="C597" s="31"/>
      <c r="D597" s="4"/>
      <c r="E597" s="24"/>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c r="CF597" s="26"/>
      <c r="CG597" s="4"/>
      <c r="CH597" s="37"/>
      <c r="CI597" s="37"/>
    </row>
    <row r="598" spans="1:87" ht="15" customHeight="1" x14ac:dyDescent="0.25">
      <c r="A598" s="31"/>
      <c r="B598" s="31"/>
      <c r="C598" s="31"/>
      <c r="D598" s="4"/>
      <c r="E598" s="24"/>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c r="CB598" s="25"/>
      <c r="CC598" s="25"/>
      <c r="CD598" s="25"/>
      <c r="CE598" s="25"/>
      <c r="CF598" s="26"/>
      <c r="CG598" s="4"/>
      <c r="CH598" s="37"/>
      <c r="CI598" s="37"/>
    </row>
    <row r="599" spans="1:87" ht="15" customHeight="1" x14ac:dyDescent="0.25">
      <c r="A599" s="31"/>
      <c r="B599" s="31"/>
      <c r="C599" s="31"/>
      <c r="D599" s="4"/>
      <c r="E599" s="24"/>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c r="CB599" s="25"/>
      <c r="CC599" s="25"/>
      <c r="CD599" s="25"/>
      <c r="CE599" s="25"/>
      <c r="CF599" s="26"/>
      <c r="CG599" s="4"/>
      <c r="CH599" s="37"/>
      <c r="CI599" s="37"/>
    </row>
    <row r="600" spans="1:87" ht="15" customHeight="1" x14ac:dyDescent="0.25">
      <c r="A600" s="31"/>
      <c r="B600" s="31"/>
      <c r="C600" s="31"/>
      <c r="D600" s="4"/>
      <c r="E600" s="24"/>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c r="CB600" s="25"/>
      <c r="CC600" s="25"/>
      <c r="CD600" s="25"/>
      <c r="CE600" s="25"/>
      <c r="CF600" s="26"/>
      <c r="CG600" s="4"/>
      <c r="CH600" s="37"/>
      <c r="CI600" s="37"/>
    </row>
    <row r="601" spans="1:87" ht="15" customHeight="1" x14ac:dyDescent="0.25">
      <c r="A601" s="31"/>
      <c r="B601" s="31"/>
      <c r="C601" s="31"/>
      <c r="D601" s="4"/>
      <c r="E601" s="24"/>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c r="CB601" s="25"/>
      <c r="CC601" s="25"/>
      <c r="CD601" s="25"/>
      <c r="CE601" s="25"/>
      <c r="CF601" s="26"/>
      <c r="CG601" s="4"/>
      <c r="CH601" s="37"/>
      <c r="CI601" s="37"/>
    </row>
    <row r="602" spans="1:87" ht="15" customHeight="1" x14ac:dyDescent="0.25">
      <c r="A602" s="31"/>
      <c r="B602" s="31"/>
      <c r="C602" s="31"/>
      <c r="D602" s="4"/>
      <c r="E602" s="24"/>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c r="CB602" s="25"/>
      <c r="CC602" s="25"/>
      <c r="CD602" s="25"/>
      <c r="CE602" s="25"/>
      <c r="CF602" s="26"/>
      <c r="CG602" s="4"/>
      <c r="CH602" s="37"/>
      <c r="CI602" s="37"/>
    </row>
    <row r="603" spans="1:87" ht="15" customHeight="1" x14ac:dyDescent="0.25">
      <c r="A603" s="31"/>
      <c r="B603" s="31"/>
      <c r="C603" s="31"/>
      <c r="D603" s="4"/>
      <c r="E603" s="24"/>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c r="CB603" s="25"/>
      <c r="CC603" s="25"/>
      <c r="CD603" s="25"/>
      <c r="CE603" s="25"/>
      <c r="CF603" s="26"/>
      <c r="CG603" s="4"/>
      <c r="CH603" s="37"/>
      <c r="CI603" s="37"/>
    </row>
    <row r="604" spans="1:87" ht="15" customHeight="1" x14ac:dyDescent="0.25">
      <c r="A604" s="31"/>
      <c r="B604" s="31"/>
      <c r="C604" s="31"/>
      <c r="D604" s="4"/>
      <c r="E604" s="24"/>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c r="CB604" s="25"/>
      <c r="CC604" s="25"/>
      <c r="CD604" s="25"/>
      <c r="CE604" s="25"/>
      <c r="CF604" s="26"/>
      <c r="CG604" s="4"/>
      <c r="CH604" s="37"/>
      <c r="CI604" s="37"/>
    </row>
    <row r="605" spans="1:87" ht="15" customHeight="1" x14ac:dyDescent="0.25">
      <c r="A605" s="31"/>
      <c r="B605" s="31"/>
      <c r="C605" s="31"/>
      <c r="D605" s="4"/>
      <c r="E605" s="24"/>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c r="CB605" s="25"/>
      <c r="CC605" s="25"/>
      <c r="CD605" s="25"/>
      <c r="CE605" s="25"/>
      <c r="CF605" s="26"/>
      <c r="CG605" s="4"/>
      <c r="CH605" s="37"/>
      <c r="CI605" s="37"/>
    </row>
    <row r="606" spans="1:87" ht="15" customHeight="1" x14ac:dyDescent="0.25">
      <c r="A606" s="31"/>
      <c r="B606" s="31"/>
      <c r="C606" s="31"/>
      <c r="D606" s="4"/>
      <c r="E606" s="24"/>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c r="CB606" s="25"/>
      <c r="CC606" s="25"/>
      <c r="CD606" s="25"/>
      <c r="CE606" s="25"/>
      <c r="CF606" s="26"/>
      <c r="CG606" s="4"/>
      <c r="CH606" s="37"/>
      <c r="CI606" s="37"/>
    </row>
    <row r="607" spans="1:87" ht="15" customHeight="1" x14ac:dyDescent="0.25">
      <c r="A607" s="31"/>
      <c r="B607" s="31"/>
      <c r="C607" s="31"/>
      <c r="D607" s="4"/>
      <c r="E607" s="24"/>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c r="CB607" s="25"/>
      <c r="CC607" s="25"/>
      <c r="CD607" s="25"/>
      <c r="CE607" s="25"/>
      <c r="CF607" s="26"/>
      <c r="CG607" s="4"/>
      <c r="CH607" s="37"/>
      <c r="CI607" s="37"/>
    </row>
    <row r="608" spans="1:87" ht="15" customHeight="1" x14ac:dyDescent="0.25">
      <c r="A608" s="31"/>
      <c r="B608" s="31"/>
      <c r="C608" s="31"/>
      <c r="D608" s="4"/>
      <c r="E608" s="24"/>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c r="CB608" s="25"/>
      <c r="CC608" s="25"/>
      <c r="CD608" s="25"/>
      <c r="CE608" s="25"/>
      <c r="CF608" s="26"/>
      <c r="CG608" s="4"/>
      <c r="CH608" s="37"/>
      <c r="CI608" s="37"/>
    </row>
    <row r="609" spans="1:87" ht="15" customHeight="1" x14ac:dyDescent="0.25">
      <c r="A609" s="31"/>
      <c r="B609" s="31"/>
      <c r="C609" s="31"/>
      <c r="D609" s="4"/>
      <c r="E609" s="24"/>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c r="CB609" s="25"/>
      <c r="CC609" s="25"/>
      <c r="CD609" s="25"/>
      <c r="CE609" s="25"/>
      <c r="CF609" s="26"/>
      <c r="CG609" s="4"/>
      <c r="CH609" s="37"/>
      <c r="CI609" s="37"/>
    </row>
    <row r="610" spans="1:87" ht="15" customHeight="1" x14ac:dyDescent="0.25">
      <c r="A610" s="31"/>
      <c r="B610" s="31"/>
      <c r="C610" s="31"/>
      <c r="D610" s="4"/>
      <c r="E610" s="24"/>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c r="CB610" s="25"/>
      <c r="CC610" s="25"/>
      <c r="CD610" s="25"/>
      <c r="CE610" s="25"/>
      <c r="CF610" s="26"/>
      <c r="CG610" s="4"/>
      <c r="CH610" s="37"/>
      <c r="CI610" s="37"/>
    </row>
    <row r="611" spans="1:87" ht="15" customHeight="1" x14ac:dyDescent="0.25">
      <c r="A611" s="31"/>
      <c r="B611" s="31"/>
      <c r="C611" s="31"/>
      <c r="D611" s="4"/>
      <c r="E611" s="24"/>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c r="CB611" s="25"/>
      <c r="CC611" s="25"/>
      <c r="CD611" s="25"/>
      <c r="CE611" s="25"/>
      <c r="CF611" s="26"/>
      <c r="CG611" s="4"/>
      <c r="CH611" s="37"/>
      <c r="CI611" s="37"/>
    </row>
    <row r="612" spans="1:87" ht="15" customHeight="1" x14ac:dyDescent="0.25">
      <c r="A612" s="31"/>
      <c r="B612" s="31"/>
      <c r="C612" s="31"/>
      <c r="D612" s="4"/>
      <c r="E612" s="24"/>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c r="CB612" s="25"/>
      <c r="CC612" s="25"/>
      <c r="CD612" s="25"/>
      <c r="CE612" s="25"/>
      <c r="CF612" s="26"/>
      <c r="CG612" s="4"/>
      <c r="CH612" s="37"/>
      <c r="CI612" s="37"/>
    </row>
    <row r="613" spans="1:87" ht="15" customHeight="1" x14ac:dyDescent="0.25">
      <c r="A613" s="31"/>
      <c r="B613" s="31"/>
      <c r="C613" s="31"/>
      <c r="D613" s="4"/>
      <c r="E613" s="24"/>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c r="CB613" s="25"/>
      <c r="CC613" s="25"/>
      <c r="CD613" s="25"/>
      <c r="CE613" s="25"/>
      <c r="CF613" s="26"/>
      <c r="CG613" s="4"/>
      <c r="CH613" s="37"/>
      <c r="CI613" s="37"/>
    </row>
    <row r="614" spans="1:87" ht="15" customHeight="1" x14ac:dyDescent="0.25">
      <c r="A614" s="31"/>
      <c r="B614" s="31"/>
      <c r="C614" s="31"/>
      <c r="D614" s="4"/>
      <c r="E614" s="24"/>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c r="CB614" s="25"/>
      <c r="CC614" s="25"/>
      <c r="CD614" s="25"/>
      <c r="CE614" s="25"/>
      <c r="CF614" s="26"/>
      <c r="CG614" s="4"/>
      <c r="CH614" s="37"/>
      <c r="CI614" s="37"/>
    </row>
    <row r="615" spans="1:87" ht="15" customHeight="1" x14ac:dyDescent="0.25">
      <c r="A615" s="31"/>
      <c r="B615" s="31"/>
      <c r="C615" s="31"/>
      <c r="D615" s="4"/>
      <c r="E615" s="24"/>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c r="CB615" s="25"/>
      <c r="CC615" s="25"/>
      <c r="CD615" s="25"/>
      <c r="CE615" s="25"/>
      <c r="CF615" s="26"/>
      <c r="CG615" s="4"/>
      <c r="CH615" s="37"/>
      <c r="CI615" s="37"/>
    </row>
    <row r="616" spans="1:87" ht="15" customHeight="1" x14ac:dyDescent="0.25">
      <c r="A616" s="31"/>
      <c r="B616" s="31"/>
      <c r="C616" s="31"/>
      <c r="D616" s="4"/>
      <c r="E616" s="24"/>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c r="CB616" s="25"/>
      <c r="CC616" s="25"/>
      <c r="CD616" s="25"/>
      <c r="CE616" s="25"/>
      <c r="CF616" s="26"/>
      <c r="CG616" s="4"/>
      <c r="CH616" s="37"/>
      <c r="CI616" s="37"/>
    </row>
    <row r="617" spans="1:87" ht="15" customHeight="1" x14ac:dyDescent="0.25">
      <c r="A617" s="31"/>
      <c r="B617" s="31"/>
      <c r="C617" s="31"/>
      <c r="D617" s="4"/>
      <c r="E617" s="24"/>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c r="CB617" s="25"/>
      <c r="CC617" s="25"/>
      <c r="CD617" s="25"/>
      <c r="CE617" s="25"/>
      <c r="CF617" s="26"/>
      <c r="CG617" s="4"/>
      <c r="CH617" s="37"/>
      <c r="CI617" s="37"/>
    </row>
    <row r="618" spans="1:87" ht="15" customHeight="1" x14ac:dyDescent="0.25">
      <c r="A618" s="31"/>
      <c r="B618" s="31"/>
      <c r="C618" s="31"/>
      <c r="D618" s="4"/>
      <c r="E618" s="24"/>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c r="CB618" s="25"/>
      <c r="CC618" s="25"/>
      <c r="CD618" s="25"/>
      <c r="CE618" s="25"/>
      <c r="CF618" s="26"/>
      <c r="CG618" s="4"/>
      <c r="CH618" s="37"/>
      <c r="CI618" s="37"/>
    </row>
    <row r="619" spans="1:87" ht="15" customHeight="1" x14ac:dyDescent="0.25">
      <c r="A619" s="31"/>
      <c r="B619" s="31"/>
      <c r="C619" s="31"/>
      <c r="D619" s="4"/>
      <c r="E619" s="24"/>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c r="CB619" s="25"/>
      <c r="CC619" s="25"/>
      <c r="CD619" s="25"/>
      <c r="CE619" s="25"/>
      <c r="CF619" s="26"/>
      <c r="CG619" s="4"/>
      <c r="CH619" s="37"/>
      <c r="CI619" s="37"/>
    </row>
    <row r="620" spans="1:87" ht="15" customHeight="1" x14ac:dyDescent="0.25">
      <c r="A620" s="31"/>
      <c r="B620" s="31"/>
      <c r="C620" s="31"/>
      <c r="D620" s="4"/>
      <c r="E620" s="24"/>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c r="CB620" s="25"/>
      <c r="CC620" s="25"/>
      <c r="CD620" s="25"/>
      <c r="CE620" s="25"/>
      <c r="CF620" s="26"/>
      <c r="CG620" s="4"/>
      <c r="CH620" s="37"/>
      <c r="CI620" s="37"/>
    </row>
    <row r="621" spans="1:87" ht="15" customHeight="1" x14ac:dyDescent="0.25">
      <c r="A621" s="31"/>
      <c r="B621" s="31"/>
      <c r="C621" s="31"/>
      <c r="D621" s="4"/>
      <c r="E621" s="24"/>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c r="CB621" s="25"/>
      <c r="CC621" s="25"/>
      <c r="CD621" s="25"/>
      <c r="CE621" s="25"/>
      <c r="CF621" s="26"/>
      <c r="CG621" s="4"/>
      <c r="CH621" s="37"/>
      <c r="CI621" s="37"/>
    </row>
    <row r="622" spans="1:87" ht="15" customHeight="1" x14ac:dyDescent="0.25">
      <c r="A622" s="31"/>
      <c r="B622" s="31"/>
      <c r="C622" s="31"/>
      <c r="D622" s="4"/>
      <c r="E622" s="24"/>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c r="CB622" s="25"/>
      <c r="CC622" s="25"/>
      <c r="CD622" s="25"/>
      <c r="CE622" s="25"/>
      <c r="CF622" s="26"/>
      <c r="CG622" s="4"/>
      <c r="CH622" s="37"/>
      <c r="CI622" s="37"/>
    </row>
    <row r="623" spans="1:87" ht="15" customHeight="1" x14ac:dyDescent="0.25">
      <c r="A623" s="31"/>
      <c r="B623" s="31"/>
      <c r="C623" s="31"/>
      <c r="D623" s="4"/>
      <c r="E623" s="24"/>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c r="CB623" s="25"/>
      <c r="CC623" s="25"/>
      <c r="CD623" s="25"/>
      <c r="CE623" s="25"/>
      <c r="CF623" s="26"/>
      <c r="CG623" s="4"/>
      <c r="CH623" s="37"/>
      <c r="CI623" s="37"/>
    </row>
    <row r="624" spans="1:87" ht="15" customHeight="1" x14ac:dyDescent="0.25">
      <c r="A624" s="31"/>
      <c r="B624" s="31"/>
      <c r="C624" s="31"/>
      <c r="D624" s="4"/>
      <c r="E624" s="24"/>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c r="CB624" s="25"/>
      <c r="CC624" s="25"/>
      <c r="CD624" s="25"/>
      <c r="CE624" s="25"/>
      <c r="CF624" s="26"/>
      <c r="CG624" s="4"/>
      <c r="CH624" s="37"/>
      <c r="CI624" s="37"/>
    </row>
    <row r="625" spans="1:87" ht="15" customHeight="1" x14ac:dyDescent="0.25">
      <c r="A625" s="31"/>
      <c r="B625" s="31"/>
      <c r="C625" s="31"/>
      <c r="D625" s="4"/>
      <c r="E625" s="24"/>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c r="CB625" s="25"/>
      <c r="CC625" s="25"/>
      <c r="CD625" s="25"/>
      <c r="CE625" s="25"/>
      <c r="CF625" s="26"/>
      <c r="CG625" s="4"/>
      <c r="CH625" s="37"/>
      <c r="CI625" s="37"/>
    </row>
    <row r="626" spans="1:87" ht="15" customHeight="1" x14ac:dyDescent="0.25">
      <c r="A626" s="31"/>
      <c r="B626" s="31"/>
      <c r="C626" s="31"/>
      <c r="D626" s="4"/>
      <c r="E626" s="24"/>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c r="CB626" s="25"/>
      <c r="CC626" s="25"/>
      <c r="CD626" s="25"/>
      <c r="CE626" s="25"/>
      <c r="CF626" s="26"/>
      <c r="CG626" s="4"/>
      <c r="CH626" s="37"/>
      <c r="CI626" s="37"/>
    </row>
    <row r="627" spans="1:87" ht="15" customHeight="1" x14ac:dyDescent="0.25">
      <c r="A627" s="31"/>
      <c r="B627" s="31"/>
      <c r="C627" s="31"/>
      <c r="D627" s="4"/>
      <c r="E627" s="24"/>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c r="CB627" s="25"/>
      <c r="CC627" s="25"/>
      <c r="CD627" s="25"/>
      <c r="CE627" s="25"/>
      <c r="CF627" s="26"/>
      <c r="CG627" s="4"/>
      <c r="CH627" s="37"/>
      <c r="CI627" s="37"/>
    </row>
    <row r="628" spans="1:87" ht="15" customHeight="1" x14ac:dyDescent="0.25">
      <c r="A628" s="31"/>
      <c r="B628" s="31"/>
      <c r="C628" s="31"/>
      <c r="D628" s="4"/>
      <c r="E628" s="24"/>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c r="CB628" s="25"/>
      <c r="CC628" s="25"/>
      <c r="CD628" s="25"/>
      <c r="CE628" s="25"/>
      <c r="CF628" s="26"/>
      <c r="CG628" s="4"/>
      <c r="CH628" s="37"/>
      <c r="CI628" s="37"/>
    </row>
    <row r="629" spans="1:87" ht="15" customHeight="1" x14ac:dyDescent="0.25">
      <c r="A629" s="31"/>
      <c r="B629" s="31"/>
      <c r="C629" s="31"/>
      <c r="D629" s="4"/>
      <c r="E629" s="24"/>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c r="CB629" s="25"/>
      <c r="CC629" s="25"/>
      <c r="CD629" s="25"/>
      <c r="CE629" s="25"/>
      <c r="CF629" s="26"/>
      <c r="CG629" s="4"/>
      <c r="CH629" s="37"/>
      <c r="CI629" s="37"/>
    </row>
    <row r="630" spans="1:87" ht="15" customHeight="1" x14ac:dyDescent="0.25">
      <c r="A630" s="31"/>
      <c r="B630" s="31"/>
      <c r="C630" s="31"/>
      <c r="D630" s="4"/>
      <c r="E630" s="24"/>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c r="CB630" s="25"/>
      <c r="CC630" s="25"/>
      <c r="CD630" s="25"/>
      <c r="CE630" s="25"/>
      <c r="CF630" s="26"/>
      <c r="CG630" s="4"/>
      <c r="CH630" s="37"/>
      <c r="CI630" s="37"/>
    </row>
    <row r="631" spans="1:87" ht="15" customHeight="1" x14ac:dyDescent="0.25">
      <c r="A631" s="31"/>
      <c r="B631" s="31"/>
      <c r="C631" s="31"/>
      <c r="D631" s="4"/>
      <c r="E631" s="24"/>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c r="CB631" s="25"/>
      <c r="CC631" s="25"/>
      <c r="CD631" s="25"/>
      <c r="CE631" s="25"/>
      <c r="CF631" s="26"/>
      <c r="CG631" s="4"/>
      <c r="CH631" s="37"/>
      <c r="CI631" s="37"/>
    </row>
    <row r="632" spans="1:87" ht="15" customHeight="1" x14ac:dyDescent="0.25">
      <c r="A632" s="31"/>
      <c r="B632" s="31"/>
      <c r="C632" s="31"/>
      <c r="D632" s="4"/>
      <c r="E632" s="24"/>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c r="CB632" s="25"/>
      <c r="CC632" s="25"/>
      <c r="CD632" s="25"/>
      <c r="CE632" s="25"/>
      <c r="CF632" s="26"/>
      <c r="CG632" s="4"/>
      <c r="CH632" s="37"/>
      <c r="CI632" s="37"/>
    </row>
    <row r="633" spans="1:87" ht="15" customHeight="1" x14ac:dyDescent="0.25">
      <c r="A633" s="31"/>
      <c r="B633" s="31"/>
      <c r="C633" s="31"/>
      <c r="D633" s="4"/>
      <c r="E633" s="24"/>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c r="CB633" s="25"/>
      <c r="CC633" s="25"/>
      <c r="CD633" s="25"/>
      <c r="CE633" s="25"/>
      <c r="CF633" s="26"/>
      <c r="CG633" s="4"/>
      <c r="CH633" s="37"/>
      <c r="CI633" s="37"/>
    </row>
    <row r="634" spans="1:87" ht="15" customHeight="1" x14ac:dyDescent="0.25">
      <c r="A634" s="31"/>
      <c r="B634" s="31"/>
      <c r="C634" s="31"/>
      <c r="D634" s="4"/>
      <c r="E634" s="24"/>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c r="CB634" s="25"/>
      <c r="CC634" s="25"/>
      <c r="CD634" s="25"/>
      <c r="CE634" s="25"/>
      <c r="CF634" s="26"/>
      <c r="CG634" s="4"/>
      <c r="CH634" s="37"/>
      <c r="CI634" s="37"/>
    </row>
    <row r="635" spans="1:87" ht="15" customHeight="1" x14ac:dyDescent="0.25">
      <c r="A635" s="31"/>
      <c r="B635" s="31"/>
      <c r="C635" s="31"/>
      <c r="D635" s="4"/>
      <c r="E635" s="24"/>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c r="CB635" s="25"/>
      <c r="CC635" s="25"/>
      <c r="CD635" s="25"/>
      <c r="CE635" s="25"/>
      <c r="CF635" s="26"/>
      <c r="CG635" s="4"/>
      <c r="CH635" s="37"/>
      <c r="CI635" s="37"/>
    </row>
    <row r="636" spans="1:87" ht="15" customHeight="1" x14ac:dyDescent="0.25">
      <c r="A636" s="31"/>
      <c r="B636" s="31"/>
      <c r="C636" s="31"/>
      <c r="D636" s="4"/>
      <c r="E636" s="24"/>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c r="CB636" s="25"/>
      <c r="CC636" s="25"/>
      <c r="CD636" s="25"/>
      <c r="CE636" s="25"/>
      <c r="CF636" s="26"/>
      <c r="CG636" s="4"/>
      <c r="CH636" s="37"/>
      <c r="CI636" s="37"/>
    </row>
    <row r="637" spans="1:87" ht="15" customHeight="1" x14ac:dyDescent="0.25">
      <c r="A637" s="31"/>
      <c r="B637" s="31"/>
      <c r="C637" s="31"/>
      <c r="D637" s="4"/>
      <c r="E637" s="24"/>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c r="CB637" s="25"/>
      <c r="CC637" s="25"/>
      <c r="CD637" s="25"/>
      <c r="CE637" s="25"/>
      <c r="CF637" s="26"/>
      <c r="CG637" s="4"/>
      <c r="CH637" s="37"/>
      <c r="CI637" s="37"/>
    </row>
    <row r="638" spans="1:87" ht="15" customHeight="1" x14ac:dyDescent="0.25">
      <c r="A638" s="31"/>
      <c r="B638" s="31"/>
      <c r="C638" s="31"/>
      <c r="D638" s="4"/>
      <c r="E638" s="24"/>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c r="CB638" s="25"/>
      <c r="CC638" s="25"/>
      <c r="CD638" s="25"/>
      <c r="CE638" s="25"/>
      <c r="CF638" s="26"/>
      <c r="CG638" s="4"/>
      <c r="CH638" s="37"/>
      <c r="CI638" s="37"/>
    </row>
    <row r="639" spans="1:87" ht="15" customHeight="1" x14ac:dyDescent="0.25">
      <c r="A639" s="31"/>
      <c r="B639" s="31"/>
      <c r="C639" s="31"/>
      <c r="D639" s="4"/>
      <c r="E639" s="24"/>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c r="CB639" s="25"/>
      <c r="CC639" s="25"/>
      <c r="CD639" s="25"/>
      <c r="CE639" s="25"/>
      <c r="CF639" s="26"/>
      <c r="CG639" s="4"/>
      <c r="CH639" s="37"/>
      <c r="CI639" s="37"/>
    </row>
    <row r="640" spans="1:87" ht="15" customHeight="1" x14ac:dyDescent="0.25">
      <c r="A640" s="31"/>
      <c r="B640" s="31"/>
      <c r="C640" s="31"/>
      <c r="D640" s="4"/>
      <c r="E640" s="24"/>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c r="CB640" s="25"/>
      <c r="CC640" s="25"/>
      <c r="CD640" s="25"/>
      <c r="CE640" s="25"/>
      <c r="CF640" s="26"/>
      <c r="CG640" s="4"/>
      <c r="CH640" s="37"/>
      <c r="CI640" s="37"/>
    </row>
    <row r="641" spans="1:87" ht="15" customHeight="1" x14ac:dyDescent="0.25">
      <c r="A641" s="31"/>
      <c r="B641" s="31"/>
      <c r="C641" s="31"/>
      <c r="D641" s="4"/>
      <c r="E641" s="24"/>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c r="CB641" s="25"/>
      <c r="CC641" s="25"/>
      <c r="CD641" s="25"/>
      <c r="CE641" s="25"/>
      <c r="CF641" s="26"/>
      <c r="CG641" s="4"/>
      <c r="CH641" s="37"/>
      <c r="CI641" s="37"/>
    </row>
    <row r="642" spans="1:87" ht="15" customHeight="1" x14ac:dyDescent="0.25">
      <c r="A642" s="31"/>
      <c r="B642" s="31"/>
      <c r="C642" s="31"/>
      <c r="D642" s="4"/>
      <c r="E642" s="24"/>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c r="CB642" s="25"/>
      <c r="CC642" s="25"/>
      <c r="CD642" s="25"/>
      <c r="CE642" s="25"/>
      <c r="CF642" s="26"/>
      <c r="CG642" s="4"/>
      <c r="CH642" s="37"/>
      <c r="CI642" s="37"/>
    </row>
    <row r="643" spans="1:87" ht="15" customHeight="1" x14ac:dyDescent="0.25">
      <c r="A643" s="31"/>
      <c r="B643" s="31"/>
      <c r="C643" s="31"/>
      <c r="D643" s="4"/>
      <c r="E643" s="24"/>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c r="CB643" s="25"/>
      <c r="CC643" s="25"/>
      <c r="CD643" s="25"/>
      <c r="CE643" s="25"/>
      <c r="CF643" s="26"/>
      <c r="CG643" s="4"/>
      <c r="CH643" s="37"/>
      <c r="CI643" s="37"/>
    </row>
    <row r="644" spans="1:87" ht="15" customHeight="1" x14ac:dyDescent="0.25">
      <c r="A644" s="31"/>
      <c r="B644" s="31"/>
      <c r="C644" s="31"/>
      <c r="D644" s="4"/>
      <c r="E644" s="24"/>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c r="CB644" s="25"/>
      <c r="CC644" s="25"/>
      <c r="CD644" s="25"/>
      <c r="CE644" s="25"/>
      <c r="CF644" s="26"/>
      <c r="CG644" s="4"/>
      <c r="CH644" s="37"/>
      <c r="CI644" s="37"/>
    </row>
    <row r="645" spans="1:87" ht="15" customHeight="1" x14ac:dyDescent="0.25">
      <c r="A645" s="31"/>
      <c r="B645" s="31"/>
      <c r="C645" s="31"/>
      <c r="D645" s="4"/>
      <c r="E645" s="24"/>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c r="CB645" s="25"/>
      <c r="CC645" s="25"/>
      <c r="CD645" s="25"/>
      <c r="CE645" s="25"/>
      <c r="CF645" s="26"/>
      <c r="CG645" s="4"/>
      <c r="CH645" s="37"/>
      <c r="CI645" s="37"/>
    </row>
    <row r="646" spans="1:87" ht="15" customHeight="1" x14ac:dyDescent="0.25">
      <c r="A646" s="31"/>
      <c r="B646" s="31"/>
      <c r="C646" s="31"/>
      <c r="D646" s="4"/>
      <c r="E646" s="24"/>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c r="CB646" s="25"/>
      <c r="CC646" s="25"/>
      <c r="CD646" s="25"/>
      <c r="CE646" s="25"/>
      <c r="CF646" s="26"/>
      <c r="CG646" s="4"/>
      <c r="CH646" s="37"/>
      <c r="CI646" s="37"/>
    </row>
    <row r="647" spans="1:87" ht="15" customHeight="1" x14ac:dyDescent="0.25">
      <c r="A647" s="31"/>
      <c r="B647" s="31"/>
      <c r="C647" s="31"/>
      <c r="D647" s="4"/>
      <c r="E647" s="24"/>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c r="CB647" s="25"/>
      <c r="CC647" s="25"/>
      <c r="CD647" s="25"/>
      <c r="CE647" s="25"/>
      <c r="CF647" s="26"/>
      <c r="CG647" s="4"/>
      <c r="CH647" s="37"/>
      <c r="CI647" s="37"/>
    </row>
    <row r="648" spans="1:87" ht="15" customHeight="1" x14ac:dyDescent="0.25">
      <c r="A648" s="31"/>
      <c r="B648" s="31"/>
      <c r="C648" s="31"/>
      <c r="D648" s="4"/>
      <c r="E648" s="24"/>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c r="CB648" s="25"/>
      <c r="CC648" s="25"/>
      <c r="CD648" s="25"/>
      <c r="CE648" s="25"/>
      <c r="CF648" s="26"/>
      <c r="CG648" s="4"/>
      <c r="CH648" s="37"/>
      <c r="CI648" s="37"/>
    </row>
    <row r="649" spans="1:87" ht="15" customHeight="1" x14ac:dyDescent="0.25">
      <c r="A649" s="31"/>
      <c r="B649" s="31"/>
      <c r="C649" s="31"/>
      <c r="D649" s="4"/>
      <c r="E649" s="24"/>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c r="CB649" s="25"/>
      <c r="CC649" s="25"/>
      <c r="CD649" s="25"/>
      <c r="CE649" s="25"/>
      <c r="CF649" s="26"/>
      <c r="CG649" s="4"/>
      <c r="CH649" s="37"/>
      <c r="CI649" s="37"/>
    </row>
    <row r="650" spans="1:87" ht="15" customHeight="1" x14ac:dyDescent="0.25">
      <c r="A650" s="31"/>
      <c r="B650" s="31"/>
      <c r="C650" s="31"/>
      <c r="D650" s="4"/>
      <c r="E650" s="24"/>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c r="CB650" s="25"/>
      <c r="CC650" s="25"/>
      <c r="CD650" s="25"/>
      <c r="CE650" s="25"/>
      <c r="CF650" s="26"/>
      <c r="CG650" s="4"/>
      <c r="CH650" s="37"/>
      <c r="CI650" s="37"/>
    </row>
    <row r="651" spans="1:87" ht="15" customHeight="1" x14ac:dyDescent="0.25">
      <c r="A651" s="31"/>
      <c r="B651" s="31"/>
      <c r="C651" s="31"/>
      <c r="D651" s="4"/>
      <c r="E651" s="24"/>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c r="CB651" s="25"/>
      <c r="CC651" s="25"/>
      <c r="CD651" s="25"/>
      <c r="CE651" s="25"/>
      <c r="CF651" s="26"/>
      <c r="CG651" s="4"/>
      <c r="CH651" s="37"/>
      <c r="CI651" s="37"/>
    </row>
    <row r="652" spans="1:87" ht="15" customHeight="1" x14ac:dyDescent="0.25">
      <c r="A652" s="31"/>
      <c r="B652" s="31"/>
      <c r="C652" s="31"/>
      <c r="D652" s="4"/>
      <c r="E652" s="24"/>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c r="CB652" s="25"/>
      <c r="CC652" s="25"/>
      <c r="CD652" s="25"/>
      <c r="CE652" s="25"/>
      <c r="CF652" s="26"/>
      <c r="CG652" s="4"/>
      <c r="CH652" s="37"/>
      <c r="CI652" s="37"/>
    </row>
    <row r="653" spans="1:87" ht="15" customHeight="1" x14ac:dyDescent="0.25">
      <c r="A653" s="31"/>
      <c r="B653" s="31"/>
      <c r="C653" s="31"/>
      <c r="D653" s="4"/>
      <c r="E653" s="24"/>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c r="CB653" s="25"/>
      <c r="CC653" s="25"/>
      <c r="CD653" s="25"/>
      <c r="CE653" s="25"/>
      <c r="CF653" s="26"/>
      <c r="CG653" s="4"/>
      <c r="CH653" s="37"/>
      <c r="CI653" s="37"/>
    </row>
    <row r="654" spans="1:87" ht="15" customHeight="1" x14ac:dyDescent="0.25">
      <c r="A654" s="31"/>
      <c r="B654" s="31"/>
      <c r="C654" s="31"/>
      <c r="D654" s="4"/>
      <c r="E654" s="24"/>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c r="CB654" s="25"/>
      <c r="CC654" s="25"/>
      <c r="CD654" s="25"/>
      <c r="CE654" s="25"/>
      <c r="CF654" s="26"/>
      <c r="CG654" s="4"/>
      <c r="CH654" s="37"/>
      <c r="CI654" s="37"/>
    </row>
    <row r="655" spans="1:87" ht="15" customHeight="1" x14ac:dyDescent="0.25">
      <c r="A655" s="31"/>
      <c r="B655" s="31"/>
      <c r="C655" s="31"/>
      <c r="D655" s="4"/>
      <c r="E655" s="24"/>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c r="CB655" s="25"/>
      <c r="CC655" s="25"/>
      <c r="CD655" s="25"/>
      <c r="CE655" s="25"/>
      <c r="CF655" s="26"/>
      <c r="CG655" s="4"/>
      <c r="CH655" s="37"/>
      <c r="CI655" s="37"/>
    </row>
    <row r="656" spans="1:87" ht="15" customHeight="1" x14ac:dyDescent="0.25">
      <c r="A656" s="31"/>
      <c r="B656" s="31"/>
      <c r="C656" s="31"/>
      <c r="D656" s="4"/>
      <c r="E656" s="24"/>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c r="CB656" s="25"/>
      <c r="CC656" s="25"/>
      <c r="CD656" s="25"/>
      <c r="CE656" s="25"/>
      <c r="CF656" s="26"/>
      <c r="CG656" s="4"/>
      <c r="CH656" s="37"/>
      <c r="CI656" s="37"/>
    </row>
    <row r="657" spans="1:87" ht="15" customHeight="1" x14ac:dyDescent="0.25">
      <c r="A657" s="31"/>
      <c r="B657" s="31"/>
      <c r="C657" s="31"/>
      <c r="D657" s="4"/>
      <c r="E657" s="24"/>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c r="CB657" s="25"/>
      <c r="CC657" s="25"/>
      <c r="CD657" s="25"/>
      <c r="CE657" s="25"/>
      <c r="CF657" s="26"/>
      <c r="CG657" s="4"/>
      <c r="CH657" s="37"/>
      <c r="CI657" s="37"/>
    </row>
    <row r="658" spans="1:87" ht="15" customHeight="1" x14ac:dyDescent="0.25">
      <c r="A658" s="31"/>
      <c r="B658" s="31"/>
      <c r="C658" s="31"/>
      <c r="D658" s="4"/>
      <c r="E658" s="24"/>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c r="CB658" s="25"/>
      <c r="CC658" s="25"/>
      <c r="CD658" s="25"/>
      <c r="CE658" s="25"/>
      <c r="CF658" s="26"/>
      <c r="CG658" s="4"/>
      <c r="CH658" s="37"/>
      <c r="CI658" s="37"/>
    </row>
    <row r="659" spans="1:87" ht="15" customHeight="1" x14ac:dyDescent="0.25">
      <c r="A659" s="31"/>
      <c r="B659" s="31"/>
      <c r="C659" s="31"/>
      <c r="D659" s="4"/>
      <c r="E659" s="24"/>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c r="CB659" s="25"/>
      <c r="CC659" s="25"/>
      <c r="CD659" s="25"/>
      <c r="CE659" s="25"/>
      <c r="CF659" s="26"/>
      <c r="CG659" s="4"/>
      <c r="CH659" s="37"/>
      <c r="CI659" s="37"/>
    </row>
    <row r="660" spans="1:87" ht="15" customHeight="1" x14ac:dyDescent="0.25">
      <c r="A660" s="31"/>
      <c r="B660" s="31"/>
      <c r="C660" s="31"/>
      <c r="D660" s="4"/>
      <c r="E660" s="24"/>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c r="CB660" s="25"/>
      <c r="CC660" s="25"/>
      <c r="CD660" s="25"/>
      <c r="CE660" s="25"/>
      <c r="CF660" s="26"/>
      <c r="CG660" s="4"/>
      <c r="CH660" s="37"/>
      <c r="CI660" s="37"/>
    </row>
    <row r="661" spans="1:87" ht="15" customHeight="1" x14ac:dyDescent="0.25">
      <c r="A661" s="31"/>
      <c r="B661" s="31"/>
      <c r="C661" s="31"/>
      <c r="D661" s="4"/>
      <c r="E661" s="24"/>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c r="CB661" s="25"/>
      <c r="CC661" s="25"/>
      <c r="CD661" s="25"/>
      <c r="CE661" s="25"/>
      <c r="CF661" s="26"/>
      <c r="CG661" s="4"/>
      <c r="CH661" s="37"/>
      <c r="CI661" s="37"/>
    </row>
    <row r="662" spans="1:87" ht="15" customHeight="1" x14ac:dyDescent="0.25">
      <c r="A662" s="31"/>
      <c r="B662" s="31"/>
      <c r="C662" s="31"/>
      <c r="D662" s="4"/>
      <c r="E662" s="24"/>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c r="CB662" s="25"/>
      <c r="CC662" s="25"/>
      <c r="CD662" s="25"/>
      <c r="CE662" s="25"/>
      <c r="CF662" s="26"/>
      <c r="CG662" s="4"/>
      <c r="CH662" s="37"/>
      <c r="CI662" s="37"/>
    </row>
    <row r="663" spans="1:87" ht="15" customHeight="1" x14ac:dyDescent="0.25">
      <c r="A663" s="31"/>
      <c r="B663" s="31"/>
      <c r="C663" s="31"/>
      <c r="D663" s="4"/>
      <c r="E663" s="24"/>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c r="CB663" s="25"/>
      <c r="CC663" s="25"/>
      <c r="CD663" s="25"/>
      <c r="CE663" s="25"/>
      <c r="CF663" s="26"/>
      <c r="CG663" s="4"/>
      <c r="CH663" s="37"/>
      <c r="CI663" s="37"/>
    </row>
    <row r="664" spans="1:87" ht="15" customHeight="1" x14ac:dyDescent="0.25">
      <c r="A664" s="31"/>
      <c r="B664" s="31"/>
      <c r="C664" s="31"/>
      <c r="D664" s="4"/>
      <c r="E664" s="24"/>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c r="CB664" s="25"/>
      <c r="CC664" s="25"/>
      <c r="CD664" s="25"/>
      <c r="CE664" s="25"/>
      <c r="CF664" s="26"/>
      <c r="CG664" s="4"/>
      <c r="CH664" s="37"/>
      <c r="CI664" s="37"/>
    </row>
    <row r="665" spans="1:87" ht="15" customHeight="1" x14ac:dyDescent="0.25">
      <c r="A665" s="31"/>
      <c r="B665" s="31"/>
      <c r="C665" s="31"/>
      <c r="D665" s="4"/>
      <c r="E665" s="24"/>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c r="CB665" s="25"/>
      <c r="CC665" s="25"/>
      <c r="CD665" s="25"/>
      <c r="CE665" s="25"/>
      <c r="CF665" s="26"/>
      <c r="CG665" s="4"/>
      <c r="CH665" s="37"/>
      <c r="CI665" s="37"/>
    </row>
    <row r="666" spans="1:87" ht="15" customHeight="1" x14ac:dyDescent="0.25">
      <c r="A666" s="31"/>
      <c r="B666" s="31"/>
      <c r="C666" s="31"/>
      <c r="D666" s="4"/>
      <c r="E666" s="24"/>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c r="CB666" s="25"/>
      <c r="CC666" s="25"/>
      <c r="CD666" s="25"/>
      <c r="CE666" s="25"/>
      <c r="CF666" s="26"/>
      <c r="CG666" s="4"/>
      <c r="CH666" s="37"/>
      <c r="CI666" s="37"/>
    </row>
    <row r="667" spans="1:87" ht="15" customHeight="1" x14ac:dyDescent="0.25">
      <c r="A667" s="31"/>
      <c r="B667" s="31"/>
      <c r="C667" s="31"/>
      <c r="D667" s="4"/>
      <c r="E667" s="24"/>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c r="CB667" s="25"/>
      <c r="CC667" s="25"/>
      <c r="CD667" s="25"/>
      <c r="CE667" s="25"/>
      <c r="CF667" s="26"/>
      <c r="CG667" s="4"/>
      <c r="CH667" s="37"/>
      <c r="CI667" s="37"/>
    </row>
    <row r="668" spans="1:87" ht="15" customHeight="1" x14ac:dyDescent="0.25">
      <c r="A668" s="31"/>
      <c r="B668" s="31"/>
      <c r="C668" s="31"/>
      <c r="D668" s="4"/>
      <c r="E668" s="24"/>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c r="CB668" s="25"/>
      <c r="CC668" s="25"/>
      <c r="CD668" s="25"/>
      <c r="CE668" s="25"/>
      <c r="CF668" s="26"/>
      <c r="CG668" s="4"/>
      <c r="CH668" s="37"/>
      <c r="CI668" s="37"/>
    </row>
    <row r="669" spans="1:87" ht="15" customHeight="1" x14ac:dyDescent="0.25">
      <c r="A669" s="31"/>
      <c r="B669" s="31"/>
      <c r="C669" s="31"/>
      <c r="D669" s="4"/>
      <c r="E669" s="24"/>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c r="CB669" s="25"/>
      <c r="CC669" s="25"/>
      <c r="CD669" s="25"/>
      <c r="CE669" s="25"/>
      <c r="CF669" s="26"/>
      <c r="CG669" s="4"/>
      <c r="CH669" s="37"/>
      <c r="CI669" s="37"/>
    </row>
    <row r="670" spans="1:87" ht="15" customHeight="1" x14ac:dyDescent="0.25">
      <c r="A670" s="31"/>
      <c r="B670" s="31"/>
      <c r="C670" s="31"/>
      <c r="D670" s="4"/>
      <c r="E670" s="24"/>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c r="CB670" s="25"/>
      <c r="CC670" s="25"/>
      <c r="CD670" s="25"/>
      <c r="CE670" s="25"/>
      <c r="CF670" s="26"/>
      <c r="CG670" s="4"/>
      <c r="CH670" s="37"/>
      <c r="CI670" s="37"/>
    </row>
    <row r="671" spans="1:87" ht="15" customHeight="1" x14ac:dyDescent="0.25">
      <c r="A671" s="31"/>
      <c r="B671" s="31"/>
      <c r="C671" s="31"/>
      <c r="D671" s="4"/>
      <c r="E671" s="24"/>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c r="CB671" s="25"/>
      <c r="CC671" s="25"/>
      <c r="CD671" s="25"/>
      <c r="CE671" s="25"/>
      <c r="CF671" s="26"/>
      <c r="CG671" s="4"/>
      <c r="CH671" s="37"/>
      <c r="CI671" s="37"/>
    </row>
    <row r="672" spans="1:87" ht="15" customHeight="1" x14ac:dyDescent="0.25">
      <c r="A672" s="31"/>
      <c r="B672" s="31"/>
      <c r="C672" s="31"/>
      <c r="D672" s="4"/>
      <c r="E672" s="24"/>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c r="CB672" s="25"/>
      <c r="CC672" s="25"/>
      <c r="CD672" s="25"/>
      <c r="CE672" s="25"/>
      <c r="CF672" s="26"/>
      <c r="CG672" s="4"/>
      <c r="CH672" s="37"/>
      <c r="CI672" s="37"/>
    </row>
    <row r="673" spans="1:87" ht="15" customHeight="1" x14ac:dyDescent="0.25">
      <c r="A673" s="31"/>
      <c r="B673" s="31"/>
      <c r="C673" s="31"/>
      <c r="D673" s="4"/>
      <c r="E673" s="24"/>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c r="CB673" s="25"/>
      <c r="CC673" s="25"/>
      <c r="CD673" s="25"/>
      <c r="CE673" s="25"/>
      <c r="CF673" s="26"/>
      <c r="CG673" s="4"/>
      <c r="CH673" s="37"/>
      <c r="CI673" s="37"/>
    </row>
    <row r="674" spans="1:87" ht="15" customHeight="1" x14ac:dyDescent="0.25">
      <c r="A674" s="31"/>
      <c r="B674" s="31"/>
      <c r="C674" s="31"/>
      <c r="D674" s="4"/>
      <c r="E674" s="24"/>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c r="CB674" s="25"/>
      <c r="CC674" s="25"/>
      <c r="CD674" s="25"/>
      <c r="CE674" s="25"/>
      <c r="CF674" s="26"/>
      <c r="CG674" s="4"/>
      <c r="CH674" s="37"/>
      <c r="CI674" s="37"/>
    </row>
    <row r="675" spans="1:87" ht="15" customHeight="1" x14ac:dyDescent="0.25">
      <c r="A675" s="31"/>
      <c r="B675" s="31"/>
      <c r="C675" s="31"/>
      <c r="D675" s="4"/>
      <c r="E675" s="24"/>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c r="CB675" s="25"/>
      <c r="CC675" s="25"/>
      <c r="CD675" s="25"/>
      <c r="CE675" s="25"/>
      <c r="CF675" s="26"/>
      <c r="CG675" s="4"/>
      <c r="CH675" s="37"/>
      <c r="CI675" s="37"/>
    </row>
    <row r="676" spans="1:87" ht="15" customHeight="1" x14ac:dyDescent="0.25">
      <c r="A676" s="31"/>
      <c r="B676" s="31"/>
      <c r="C676" s="31"/>
      <c r="D676" s="4"/>
      <c r="E676" s="24"/>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c r="CB676" s="25"/>
      <c r="CC676" s="25"/>
      <c r="CD676" s="25"/>
      <c r="CE676" s="25"/>
      <c r="CF676" s="26"/>
      <c r="CG676" s="4"/>
      <c r="CH676" s="37"/>
      <c r="CI676" s="37"/>
    </row>
    <row r="677" spans="1:87" ht="15" customHeight="1" x14ac:dyDescent="0.25">
      <c r="A677" s="31"/>
      <c r="B677" s="31"/>
      <c r="C677" s="31"/>
      <c r="D677" s="4"/>
      <c r="E677" s="24"/>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c r="CB677" s="25"/>
      <c r="CC677" s="25"/>
      <c r="CD677" s="25"/>
      <c r="CE677" s="25"/>
      <c r="CF677" s="26"/>
      <c r="CG677" s="4"/>
      <c r="CH677" s="37"/>
      <c r="CI677" s="37"/>
    </row>
    <row r="678" spans="1:87" ht="15" customHeight="1" x14ac:dyDescent="0.25">
      <c r="A678" s="31"/>
      <c r="B678" s="31"/>
      <c r="C678" s="31"/>
      <c r="D678" s="4"/>
      <c r="E678" s="24"/>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c r="CB678" s="25"/>
      <c r="CC678" s="25"/>
      <c r="CD678" s="25"/>
      <c r="CE678" s="25"/>
      <c r="CF678" s="26"/>
      <c r="CG678" s="4"/>
      <c r="CH678" s="37"/>
      <c r="CI678" s="37"/>
    </row>
    <row r="679" spans="1:87" ht="15" customHeight="1" x14ac:dyDescent="0.25">
      <c r="A679" s="31"/>
      <c r="B679" s="31"/>
      <c r="C679" s="31"/>
      <c r="D679" s="4"/>
      <c r="E679" s="24"/>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c r="CB679" s="25"/>
      <c r="CC679" s="25"/>
      <c r="CD679" s="25"/>
      <c r="CE679" s="25"/>
      <c r="CF679" s="26"/>
      <c r="CG679" s="4"/>
      <c r="CH679" s="37"/>
      <c r="CI679" s="37"/>
    </row>
    <row r="680" spans="1:87" ht="15" customHeight="1" x14ac:dyDescent="0.25">
      <c r="A680" s="31"/>
      <c r="B680" s="31"/>
      <c r="C680" s="31"/>
      <c r="D680" s="4"/>
      <c r="E680" s="24"/>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c r="CB680" s="25"/>
      <c r="CC680" s="25"/>
      <c r="CD680" s="25"/>
      <c r="CE680" s="25"/>
      <c r="CF680" s="26"/>
      <c r="CG680" s="4"/>
      <c r="CH680" s="37"/>
      <c r="CI680" s="37"/>
    </row>
    <row r="681" spans="1:87" ht="15" customHeight="1" x14ac:dyDescent="0.25">
      <c r="A681" s="31"/>
      <c r="B681" s="31"/>
      <c r="C681" s="31"/>
      <c r="D681" s="4"/>
      <c r="E681" s="24"/>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c r="CB681" s="25"/>
      <c r="CC681" s="25"/>
      <c r="CD681" s="25"/>
      <c r="CE681" s="25"/>
      <c r="CF681" s="26"/>
      <c r="CG681" s="4"/>
      <c r="CH681" s="37"/>
      <c r="CI681" s="37"/>
    </row>
    <row r="682" spans="1:87" ht="15" customHeight="1" x14ac:dyDescent="0.25">
      <c r="A682" s="31"/>
      <c r="B682" s="31"/>
      <c r="C682" s="31"/>
      <c r="D682" s="4"/>
      <c r="E682" s="24"/>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c r="CB682" s="25"/>
      <c r="CC682" s="25"/>
      <c r="CD682" s="25"/>
      <c r="CE682" s="25"/>
      <c r="CF682" s="26"/>
      <c r="CG682" s="4"/>
      <c r="CH682" s="37"/>
      <c r="CI682" s="37"/>
    </row>
    <row r="683" spans="1:87" ht="15" customHeight="1" x14ac:dyDescent="0.25">
      <c r="A683" s="31"/>
      <c r="B683" s="31"/>
      <c r="C683" s="31"/>
      <c r="D683" s="4"/>
      <c r="E683" s="24"/>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c r="CB683" s="25"/>
      <c r="CC683" s="25"/>
      <c r="CD683" s="25"/>
      <c r="CE683" s="25"/>
      <c r="CF683" s="26"/>
      <c r="CG683" s="4"/>
      <c r="CH683" s="37"/>
      <c r="CI683" s="37"/>
    </row>
    <row r="684" spans="1:87" ht="15" customHeight="1" x14ac:dyDescent="0.25">
      <c r="A684" s="31"/>
      <c r="B684" s="31"/>
      <c r="C684" s="31"/>
      <c r="D684" s="4"/>
      <c r="E684" s="24"/>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c r="CB684" s="25"/>
      <c r="CC684" s="25"/>
      <c r="CD684" s="25"/>
      <c r="CE684" s="25"/>
      <c r="CF684" s="26"/>
      <c r="CG684" s="4"/>
      <c r="CH684" s="37"/>
      <c r="CI684" s="37"/>
    </row>
    <row r="685" spans="1:87" ht="15" customHeight="1" x14ac:dyDescent="0.25">
      <c r="A685" s="31"/>
      <c r="B685" s="31"/>
      <c r="C685" s="31"/>
      <c r="D685" s="4"/>
      <c r="E685" s="24"/>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c r="CB685" s="25"/>
      <c r="CC685" s="25"/>
      <c r="CD685" s="25"/>
      <c r="CE685" s="25"/>
      <c r="CF685" s="26"/>
      <c r="CG685" s="4"/>
      <c r="CH685" s="37"/>
      <c r="CI685" s="37"/>
    </row>
    <row r="686" spans="1:87" ht="15" customHeight="1" x14ac:dyDescent="0.25">
      <c r="A686" s="31"/>
      <c r="B686" s="31"/>
      <c r="C686" s="31"/>
      <c r="D686" s="4"/>
      <c r="E686" s="24"/>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c r="CB686" s="25"/>
      <c r="CC686" s="25"/>
      <c r="CD686" s="25"/>
      <c r="CE686" s="25"/>
      <c r="CF686" s="26"/>
      <c r="CG686" s="4"/>
      <c r="CH686" s="37"/>
      <c r="CI686" s="37"/>
    </row>
    <row r="687" spans="1:87" ht="15" customHeight="1" x14ac:dyDescent="0.25">
      <c r="A687" s="31"/>
      <c r="B687" s="31"/>
      <c r="C687" s="31"/>
      <c r="D687" s="4"/>
      <c r="E687" s="24"/>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c r="CB687" s="25"/>
      <c r="CC687" s="25"/>
      <c r="CD687" s="25"/>
      <c r="CE687" s="25"/>
      <c r="CF687" s="26"/>
      <c r="CG687" s="4"/>
      <c r="CH687" s="37"/>
      <c r="CI687" s="37"/>
    </row>
    <row r="688" spans="1:87" ht="15" customHeight="1" x14ac:dyDescent="0.25">
      <c r="A688" s="31"/>
      <c r="B688" s="31"/>
      <c r="C688" s="31"/>
      <c r="D688" s="4"/>
      <c r="E688" s="24"/>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c r="CB688" s="25"/>
      <c r="CC688" s="25"/>
      <c r="CD688" s="25"/>
      <c r="CE688" s="25"/>
      <c r="CF688" s="26"/>
      <c r="CG688" s="4"/>
      <c r="CH688" s="37"/>
      <c r="CI688" s="37"/>
    </row>
    <row r="689" spans="1:87" ht="15" customHeight="1" x14ac:dyDescent="0.25">
      <c r="A689" s="31"/>
      <c r="B689" s="31"/>
      <c r="C689" s="31"/>
      <c r="D689" s="4"/>
      <c r="E689" s="24"/>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c r="CB689" s="25"/>
      <c r="CC689" s="25"/>
      <c r="CD689" s="25"/>
      <c r="CE689" s="25"/>
      <c r="CF689" s="26"/>
      <c r="CG689" s="4"/>
      <c r="CH689" s="37"/>
      <c r="CI689" s="37"/>
    </row>
    <row r="690" spans="1:87" ht="15" customHeight="1" x14ac:dyDescent="0.25">
      <c r="A690" s="31"/>
      <c r="B690" s="31"/>
      <c r="C690" s="31"/>
      <c r="D690" s="4"/>
      <c r="E690" s="24"/>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c r="CB690" s="25"/>
      <c r="CC690" s="25"/>
      <c r="CD690" s="25"/>
      <c r="CE690" s="25"/>
      <c r="CF690" s="26"/>
      <c r="CG690" s="4"/>
      <c r="CH690" s="37"/>
      <c r="CI690" s="37"/>
    </row>
    <row r="691" spans="1:87" ht="15" customHeight="1" x14ac:dyDescent="0.25">
      <c r="A691" s="31"/>
      <c r="B691" s="31"/>
      <c r="C691" s="31"/>
      <c r="D691" s="4"/>
      <c r="E691" s="24"/>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c r="CB691" s="25"/>
      <c r="CC691" s="25"/>
      <c r="CD691" s="25"/>
      <c r="CE691" s="25"/>
      <c r="CF691" s="26"/>
      <c r="CG691" s="4"/>
      <c r="CH691" s="37"/>
      <c r="CI691" s="37"/>
    </row>
    <row r="692" spans="1:87" ht="15" customHeight="1" x14ac:dyDescent="0.25">
      <c r="A692" s="31"/>
      <c r="B692" s="31"/>
      <c r="C692" s="31"/>
      <c r="D692" s="4"/>
      <c r="E692" s="24"/>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c r="CB692" s="25"/>
      <c r="CC692" s="25"/>
      <c r="CD692" s="25"/>
      <c r="CE692" s="25"/>
      <c r="CF692" s="26"/>
      <c r="CG692" s="4"/>
      <c r="CH692" s="37"/>
      <c r="CI692" s="37"/>
    </row>
    <row r="693" spans="1:87" ht="15" customHeight="1" x14ac:dyDescent="0.25">
      <c r="A693" s="31"/>
      <c r="B693" s="31"/>
      <c r="C693" s="31"/>
      <c r="D693" s="4"/>
      <c r="E693" s="24"/>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c r="CB693" s="25"/>
      <c r="CC693" s="25"/>
      <c r="CD693" s="25"/>
      <c r="CE693" s="25"/>
      <c r="CF693" s="26"/>
      <c r="CG693" s="4"/>
      <c r="CH693" s="37"/>
      <c r="CI693" s="37"/>
    </row>
    <row r="694" spans="1:87" ht="15" customHeight="1" x14ac:dyDescent="0.25">
      <c r="A694" s="31"/>
      <c r="B694" s="31"/>
      <c r="C694" s="31"/>
      <c r="D694" s="4"/>
      <c r="E694" s="24"/>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c r="CB694" s="25"/>
      <c r="CC694" s="25"/>
      <c r="CD694" s="25"/>
      <c r="CE694" s="25"/>
      <c r="CF694" s="26"/>
      <c r="CG694" s="4"/>
      <c r="CH694" s="37"/>
      <c r="CI694" s="37"/>
    </row>
    <row r="695" spans="1:87" ht="15" customHeight="1" x14ac:dyDescent="0.25">
      <c r="A695" s="31"/>
      <c r="B695" s="31"/>
      <c r="C695" s="31"/>
      <c r="D695" s="4"/>
      <c r="E695" s="24"/>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c r="CB695" s="25"/>
      <c r="CC695" s="25"/>
      <c r="CD695" s="25"/>
      <c r="CE695" s="25"/>
      <c r="CF695" s="26"/>
      <c r="CG695" s="4"/>
      <c r="CH695" s="37"/>
      <c r="CI695" s="37"/>
    </row>
    <row r="696" spans="1:87" ht="15" customHeight="1" x14ac:dyDescent="0.25">
      <c r="A696" s="31"/>
      <c r="B696" s="31"/>
      <c r="C696" s="31"/>
      <c r="D696" s="4"/>
      <c r="E696" s="24"/>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c r="CB696" s="25"/>
      <c r="CC696" s="25"/>
      <c r="CD696" s="25"/>
      <c r="CE696" s="25"/>
      <c r="CF696" s="26"/>
      <c r="CG696" s="4"/>
      <c r="CH696" s="37"/>
      <c r="CI696" s="37"/>
    </row>
    <row r="697" spans="1:87" ht="15" customHeight="1" x14ac:dyDescent="0.25">
      <c r="A697" s="31"/>
      <c r="B697" s="31"/>
      <c r="C697" s="31"/>
      <c r="D697" s="4"/>
      <c r="E697" s="24"/>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c r="CB697" s="25"/>
      <c r="CC697" s="25"/>
      <c r="CD697" s="25"/>
      <c r="CE697" s="25"/>
      <c r="CF697" s="26"/>
      <c r="CG697" s="4"/>
      <c r="CH697" s="37"/>
      <c r="CI697" s="37"/>
    </row>
    <row r="698" spans="1:87" ht="15" customHeight="1" x14ac:dyDescent="0.25">
      <c r="A698" s="31"/>
      <c r="B698" s="31"/>
      <c r="C698" s="31"/>
      <c r="D698" s="4"/>
      <c r="E698" s="24"/>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c r="CB698" s="25"/>
      <c r="CC698" s="25"/>
      <c r="CD698" s="25"/>
      <c r="CE698" s="25"/>
      <c r="CF698" s="26"/>
      <c r="CG698" s="4"/>
      <c r="CH698" s="37"/>
      <c r="CI698" s="37"/>
    </row>
    <row r="699" spans="1:87" ht="15" customHeight="1" x14ac:dyDescent="0.25">
      <c r="A699" s="31"/>
      <c r="B699" s="31"/>
      <c r="C699" s="31"/>
      <c r="D699" s="4"/>
      <c r="E699" s="24"/>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c r="CB699" s="25"/>
      <c r="CC699" s="25"/>
      <c r="CD699" s="25"/>
      <c r="CE699" s="25"/>
      <c r="CF699" s="26"/>
      <c r="CG699" s="4"/>
      <c r="CH699" s="37"/>
      <c r="CI699" s="37"/>
    </row>
    <row r="700" spans="1:87" ht="15" customHeight="1" x14ac:dyDescent="0.25">
      <c r="A700" s="31"/>
      <c r="B700" s="31"/>
      <c r="C700" s="31"/>
      <c r="D700" s="4"/>
      <c r="E700" s="24"/>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c r="CB700" s="25"/>
      <c r="CC700" s="25"/>
      <c r="CD700" s="25"/>
      <c r="CE700" s="25"/>
      <c r="CF700" s="26"/>
      <c r="CG700" s="4"/>
      <c r="CH700" s="37"/>
      <c r="CI700" s="37"/>
    </row>
    <row r="701" spans="1:87" ht="15" customHeight="1" x14ac:dyDescent="0.25">
      <c r="A701" s="31"/>
      <c r="B701" s="31"/>
      <c r="C701" s="31"/>
      <c r="D701" s="4"/>
      <c r="E701" s="24"/>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c r="CB701" s="25"/>
      <c r="CC701" s="25"/>
      <c r="CD701" s="25"/>
      <c r="CE701" s="25"/>
      <c r="CF701" s="26"/>
      <c r="CG701" s="4"/>
      <c r="CH701" s="37"/>
      <c r="CI701" s="37"/>
    </row>
    <row r="702" spans="1:87" ht="15" customHeight="1" x14ac:dyDescent="0.25">
      <c r="A702" s="31"/>
      <c r="B702" s="31"/>
      <c r="C702" s="31"/>
      <c r="D702" s="4"/>
      <c r="E702" s="24"/>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c r="CB702" s="25"/>
      <c r="CC702" s="25"/>
      <c r="CD702" s="25"/>
      <c r="CE702" s="25"/>
      <c r="CF702" s="26"/>
      <c r="CG702" s="4"/>
      <c r="CH702" s="37"/>
      <c r="CI702" s="37"/>
    </row>
    <row r="703" spans="1:87" ht="15" customHeight="1" x14ac:dyDescent="0.25">
      <c r="A703" s="31"/>
      <c r="B703" s="31"/>
      <c r="C703" s="31"/>
      <c r="D703" s="4"/>
      <c r="E703" s="24"/>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c r="CB703" s="25"/>
      <c r="CC703" s="25"/>
      <c r="CD703" s="25"/>
      <c r="CE703" s="25"/>
      <c r="CF703" s="26"/>
      <c r="CG703" s="4"/>
      <c r="CH703" s="37"/>
      <c r="CI703" s="37"/>
    </row>
    <row r="704" spans="1:87" ht="15" customHeight="1" x14ac:dyDescent="0.25">
      <c r="A704" s="31"/>
      <c r="B704" s="31"/>
      <c r="C704" s="31"/>
      <c r="D704" s="4"/>
      <c r="E704" s="24"/>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c r="CB704" s="25"/>
      <c r="CC704" s="25"/>
      <c r="CD704" s="25"/>
      <c r="CE704" s="25"/>
      <c r="CF704" s="26"/>
      <c r="CG704" s="4"/>
      <c r="CH704" s="37"/>
      <c r="CI704" s="37"/>
    </row>
    <row r="705" spans="1:87" ht="15" customHeight="1" x14ac:dyDescent="0.25">
      <c r="A705" s="31"/>
      <c r="B705" s="31"/>
      <c r="C705" s="31"/>
      <c r="D705" s="4"/>
      <c r="E705" s="24"/>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c r="CB705" s="25"/>
      <c r="CC705" s="25"/>
      <c r="CD705" s="25"/>
      <c r="CE705" s="25"/>
      <c r="CF705" s="26"/>
      <c r="CG705" s="4"/>
      <c r="CH705" s="37"/>
      <c r="CI705" s="37"/>
    </row>
    <row r="706" spans="1:87" ht="15" customHeight="1" x14ac:dyDescent="0.25">
      <c r="A706" s="31"/>
      <c r="B706" s="31"/>
      <c r="C706" s="31"/>
      <c r="D706" s="4"/>
      <c r="E706" s="24"/>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c r="CB706" s="25"/>
      <c r="CC706" s="25"/>
      <c r="CD706" s="25"/>
      <c r="CE706" s="25"/>
      <c r="CF706" s="26"/>
      <c r="CG706" s="4"/>
      <c r="CH706" s="37"/>
      <c r="CI706" s="37"/>
    </row>
    <row r="707" spans="1:87" ht="15" customHeight="1" x14ac:dyDescent="0.25">
      <c r="A707" s="31"/>
      <c r="B707" s="31"/>
      <c r="C707" s="31"/>
      <c r="D707" s="4"/>
      <c r="E707" s="24"/>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c r="CB707" s="25"/>
      <c r="CC707" s="25"/>
      <c r="CD707" s="25"/>
      <c r="CE707" s="25"/>
      <c r="CF707" s="26"/>
      <c r="CG707" s="4"/>
      <c r="CH707" s="37"/>
      <c r="CI707" s="37"/>
    </row>
    <row r="708" spans="1:87" ht="15" customHeight="1" x14ac:dyDescent="0.25">
      <c r="A708" s="31"/>
      <c r="B708" s="31"/>
      <c r="C708" s="31"/>
      <c r="D708" s="4"/>
      <c r="E708" s="24"/>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c r="CB708" s="25"/>
      <c r="CC708" s="25"/>
      <c r="CD708" s="25"/>
      <c r="CE708" s="25"/>
      <c r="CF708" s="26"/>
      <c r="CG708" s="4"/>
      <c r="CH708" s="37"/>
      <c r="CI708" s="37"/>
    </row>
    <row r="709" spans="1:87" ht="15" customHeight="1" x14ac:dyDescent="0.25">
      <c r="A709" s="31"/>
      <c r="B709" s="31"/>
      <c r="C709" s="31"/>
      <c r="D709" s="4"/>
      <c r="E709" s="24"/>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c r="CB709" s="25"/>
      <c r="CC709" s="25"/>
      <c r="CD709" s="25"/>
      <c r="CE709" s="25"/>
      <c r="CF709" s="26"/>
      <c r="CG709" s="4"/>
      <c r="CH709" s="37"/>
      <c r="CI709" s="37"/>
    </row>
    <row r="710" spans="1:87" ht="15" customHeight="1" x14ac:dyDescent="0.25">
      <c r="A710" s="31"/>
      <c r="B710" s="31"/>
      <c r="C710" s="31"/>
      <c r="D710" s="4"/>
      <c r="E710" s="24"/>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c r="CB710" s="25"/>
      <c r="CC710" s="25"/>
      <c r="CD710" s="25"/>
      <c r="CE710" s="25"/>
      <c r="CF710" s="26"/>
      <c r="CG710" s="4"/>
      <c r="CH710" s="37"/>
      <c r="CI710" s="37"/>
    </row>
    <row r="711" spans="1:87" ht="15" customHeight="1" x14ac:dyDescent="0.25">
      <c r="A711" s="31"/>
      <c r="B711" s="31"/>
      <c r="C711" s="31"/>
      <c r="D711" s="4"/>
      <c r="E711" s="24"/>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c r="CB711" s="25"/>
      <c r="CC711" s="25"/>
      <c r="CD711" s="25"/>
      <c r="CE711" s="25"/>
      <c r="CF711" s="26"/>
      <c r="CG711" s="4"/>
      <c r="CH711" s="37"/>
      <c r="CI711" s="37"/>
    </row>
    <row r="712" spans="1:87" ht="15" customHeight="1" x14ac:dyDescent="0.25">
      <c r="A712" s="31"/>
      <c r="B712" s="31"/>
      <c r="C712" s="31"/>
      <c r="D712" s="4"/>
      <c r="E712" s="24"/>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c r="CB712" s="25"/>
      <c r="CC712" s="25"/>
      <c r="CD712" s="25"/>
      <c r="CE712" s="25"/>
      <c r="CF712" s="26"/>
      <c r="CG712" s="4"/>
      <c r="CH712" s="37"/>
      <c r="CI712" s="37"/>
    </row>
    <row r="713" spans="1:87" ht="15" customHeight="1" x14ac:dyDescent="0.25">
      <c r="A713" s="31"/>
      <c r="B713" s="31"/>
      <c r="C713" s="31"/>
      <c r="D713" s="4"/>
      <c r="E713" s="24"/>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c r="CB713" s="25"/>
      <c r="CC713" s="25"/>
      <c r="CD713" s="25"/>
      <c r="CE713" s="25"/>
      <c r="CF713" s="26"/>
      <c r="CG713" s="4"/>
      <c r="CH713" s="37"/>
      <c r="CI713" s="37"/>
    </row>
    <row r="714" spans="1:87" ht="15" customHeight="1" x14ac:dyDescent="0.25">
      <c r="A714" s="31"/>
      <c r="B714" s="31"/>
      <c r="C714" s="31"/>
      <c r="D714" s="4"/>
      <c r="E714" s="24"/>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c r="CB714" s="25"/>
      <c r="CC714" s="25"/>
      <c r="CD714" s="25"/>
      <c r="CE714" s="25"/>
      <c r="CF714" s="26"/>
      <c r="CG714" s="4"/>
      <c r="CH714" s="37"/>
      <c r="CI714" s="37"/>
    </row>
    <row r="715" spans="1:87" ht="15" customHeight="1" x14ac:dyDescent="0.25">
      <c r="A715" s="31"/>
      <c r="B715" s="31"/>
      <c r="C715" s="31"/>
      <c r="D715" s="4"/>
      <c r="E715" s="24"/>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c r="CB715" s="25"/>
      <c r="CC715" s="25"/>
      <c r="CD715" s="25"/>
      <c r="CE715" s="25"/>
      <c r="CF715" s="26"/>
      <c r="CG715" s="4"/>
      <c r="CH715" s="37"/>
      <c r="CI715" s="37"/>
    </row>
    <row r="716" spans="1:87" ht="15" customHeight="1" x14ac:dyDescent="0.25">
      <c r="A716" s="31"/>
      <c r="B716" s="31"/>
      <c r="C716" s="31"/>
      <c r="D716" s="4"/>
      <c r="E716" s="24"/>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c r="CB716" s="25"/>
      <c r="CC716" s="25"/>
      <c r="CD716" s="25"/>
      <c r="CE716" s="25"/>
      <c r="CF716" s="26"/>
      <c r="CG716" s="4"/>
      <c r="CH716" s="37"/>
      <c r="CI716" s="37"/>
    </row>
    <row r="717" spans="1:87" ht="15" customHeight="1" x14ac:dyDescent="0.25">
      <c r="A717" s="31"/>
      <c r="B717" s="31"/>
      <c r="C717" s="31"/>
      <c r="D717" s="4"/>
      <c r="E717" s="24"/>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c r="CB717" s="25"/>
      <c r="CC717" s="25"/>
      <c r="CD717" s="25"/>
      <c r="CE717" s="25"/>
      <c r="CF717" s="26"/>
      <c r="CG717" s="4"/>
      <c r="CH717" s="37"/>
      <c r="CI717" s="37"/>
    </row>
    <row r="718" spans="1:87" ht="15" customHeight="1" x14ac:dyDescent="0.25">
      <c r="A718" s="31"/>
      <c r="B718" s="31"/>
      <c r="C718" s="31"/>
      <c r="D718" s="4"/>
      <c r="E718" s="24"/>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c r="CB718" s="25"/>
      <c r="CC718" s="25"/>
      <c r="CD718" s="25"/>
      <c r="CE718" s="25"/>
      <c r="CF718" s="26"/>
      <c r="CG718" s="4"/>
      <c r="CH718" s="37"/>
      <c r="CI718" s="37"/>
    </row>
    <row r="719" spans="1:87" ht="15" customHeight="1" x14ac:dyDescent="0.25">
      <c r="A719" s="31"/>
      <c r="B719" s="31"/>
      <c r="C719" s="31"/>
      <c r="D719" s="4"/>
      <c r="E719" s="24"/>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c r="CB719" s="25"/>
      <c r="CC719" s="25"/>
      <c r="CD719" s="25"/>
      <c r="CE719" s="25"/>
      <c r="CF719" s="26"/>
      <c r="CG719" s="4"/>
      <c r="CH719" s="37"/>
      <c r="CI719" s="37"/>
    </row>
    <row r="720" spans="1:87" ht="15" customHeight="1" x14ac:dyDescent="0.25">
      <c r="A720" s="31"/>
      <c r="B720" s="31"/>
      <c r="C720" s="31"/>
      <c r="D720" s="4"/>
      <c r="E720" s="24"/>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c r="CB720" s="25"/>
      <c r="CC720" s="25"/>
      <c r="CD720" s="25"/>
      <c r="CE720" s="25"/>
      <c r="CF720" s="26"/>
      <c r="CG720" s="4"/>
      <c r="CH720" s="37"/>
      <c r="CI720" s="37"/>
    </row>
    <row r="721" spans="1:87" ht="15" customHeight="1" x14ac:dyDescent="0.25">
      <c r="A721" s="31"/>
      <c r="B721" s="31"/>
      <c r="C721" s="31"/>
      <c r="D721" s="4"/>
      <c r="E721" s="24"/>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c r="CB721" s="25"/>
      <c r="CC721" s="25"/>
      <c r="CD721" s="25"/>
      <c r="CE721" s="25"/>
      <c r="CF721" s="26"/>
      <c r="CG721" s="4"/>
      <c r="CH721" s="37"/>
      <c r="CI721" s="37"/>
    </row>
    <row r="722" spans="1:87" ht="15" customHeight="1" x14ac:dyDescent="0.25">
      <c r="A722" s="31"/>
      <c r="B722" s="31"/>
      <c r="C722" s="31"/>
      <c r="D722" s="4"/>
      <c r="E722" s="24"/>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c r="CB722" s="25"/>
      <c r="CC722" s="25"/>
      <c r="CD722" s="25"/>
      <c r="CE722" s="25"/>
      <c r="CF722" s="26"/>
      <c r="CG722" s="4"/>
      <c r="CH722" s="37"/>
      <c r="CI722" s="37"/>
    </row>
    <row r="723" spans="1:87" ht="15" customHeight="1" x14ac:dyDescent="0.25">
      <c r="A723" s="31"/>
      <c r="B723" s="31"/>
      <c r="C723" s="31"/>
      <c r="D723" s="4"/>
      <c r="E723" s="24"/>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c r="CB723" s="25"/>
      <c r="CC723" s="25"/>
      <c r="CD723" s="25"/>
      <c r="CE723" s="25"/>
      <c r="CF723" s="26"/>
      <c r="CG723" s="4"/>
      <c r="CH723" s="37"/>
      <c r="CI723" s="37"/>
    </row>
    <row r="724" spans="1:87" ht="15" customHeight="1" x14ac:dyDescent="0.25">
      <c r="A724" s="31"/>
      <c r="B724" s="31"/>
      <c r="C724" s="31"/>
      <c r="D724" s="4"/>
      <c r="E724" s="24"/>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c r="CB724" s="25"/>
      <c r="CC724" s="25"/>
      <c r="CD724" s="25"/>
      <c r="CE724" s="25"/>
      <c r="CF724" s="26"/>
      <c r="CG724" s="4"/>
      <c r="CH724" s="37"/>
      <c r="CI724" s="37"/>
    </row>
    <row r="725" spans="1:87" ht="15" customHeight="1" x14ac:dyDescent="0.25">
      <c r="A725" s="31"/>
      <c r="B725" s="31"/>
      <c r="C725" s="31"/>
      <c r="D725" s="4"/>
      <c r="E725" s="24"/>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c r="CB725" s="25"/>
      <c r="CC725" s="25"/>
      <c r="CD725" s="25"/>
      <c r="CE725" s="25"/>
      <c r="CF725" s="26"/>
      <c r="CG725" s="4"/>
      <c r="CH725" s="37"/>
      <c r="CI725" s="37"/>
    </row>
    <row r="726" spans="1:87" ht="15" customHeight="1" x14ac:dyDescent="0.25">
      <c r="A726" s="31"/>
      <c r="B726" s="31"/>
      <c r="C726" s="31"/>
      <c r="D726" s="4"/>
      <c r="E726" s="24"/>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c r="CB726" s="25"/>
      <c r="CC726" s="25"/>
      <c r="CD726" s="25"/>
      <c r="CE726" s="25"/>
      <c r="CF726" s="26"/>
      <c r="CG726" s="4"/>
      <c r="CH726" s="37"/>
      <c r="CI726" s="37"/>
    </row>
    <row r="727" spans="1:87" ht="15" customHeight="1" x14ac:dyDescent="0.25">
      <c r="A727" s="31"/>
      <c r="B727" s="31"/>
      <c r="C727" s="31"/>
      <c r="D727" s="4"/>
      <c r="E727" s="24"/>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c r="CB727" s="25"/>
      <c r="CC727" s="25"/>
      <c r="CD727" s="25"/>
      <c r="CE727" s="25"/>
      <c r="CF727" s="26"/>
      <c r="CG727" s="4"/>
      <c r="CH727" s="37"/>
      <c r="CI727" s="37"/>
    </row>
    <row r="728" spans="1:87" ht="15" customHeight="1" x14ac:dyDescent="0.25">
      <c r="A728" s="31"/>
      <c r="B728" s="31"/>
      <c r="C728" s="31"/>
      <c r="D728" s="4"/>
      <c r="E728" s="24"/>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c r="CB728" s="25"/>
      <c r="CC728" s="25"/>
      <c r="CD728" s="25"/>
      <c r="CE728" s="25"/>
      <c r="CF728" s="26"/>
      <c r="CG728" s="4"/>
      <c r="CH728" s="37"/>
      <c r="CI728" s="37"/>
    </row>
    <row r="729" spans="1:87" ht="15" customHeight="1" x14ac:dyDescent="0.25">
      <c r="A729" s="31"/>
      <c r="B729" s="31"/>
      <c r="C729" s="31"/>
      <c r="D729" s="4"/>
      <c r="E729" s="24"/>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c r="CB729" s="25"/>
      <c r="CC729" s="25"/>
      <c r="CD729" s="25"/>
      <c r="CE729" s="25"/>
      <c r="CF729" s="26"/>
      <c r="CG729" s="4"/>
      <c r="CH729" s="37"/>
      <c r="CI729" s="37"/>
    </row>
    <row r="730" spans="1:87" ht="15" customHeight="1" x14ac:dyDescent="0.25">
      <c r="A730" s="31"/>
      <c r="B730" s="31"/>
      <c r="C730" s="31"/>
      <c r="D730" s="4"/>
      <c r="E730" s="24"/>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c r="CB730" s="25"/>
      <c r="CC730" s="25"/>
      <c r="CD730" s="25"/>
      <c r="CE730" s="25"/>
      <c r="CF730" s="26"/>
      <c r="CG730" s="4"/>
      <c r="CH730" s="37"/>
      <c r="CI730" s="37"/>
    </row>
    <row r="731" spans="1:87" ht="15" customHeight="1" x14ac:dyDescent="0.25">
      <c r="A731" s="31"/>
      <c r="B731" s="31"/>
      <c r="C731" s="31"/>
      <c r="D731" s="4"/>
      <c r="E731" s="24"/>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c r="CB731" s="25"/>
      <c r="CC731" s="25"/>
      <c r="CD731" s="25"/>
      <c r="CE731" s="25"/>
      <c r="CF731" s="26"/>
      <c r="CG731" s="4"/>
      <c r="CH731" s="37"/>
      <c r="CI731" s="37"/>
    </row>
    <row r="732" spans="1:87" ht="15" customHeight="1" x14ac:dyDescent="0.25">
      <c r="A732" s="31"/>
      <c r="B732" s="31"/>
      <c r="C732" s="31"/>
      <c r="D732" s="4"/>
      <c r="E732" s="24"/>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c r="CB732" s="25"/>
      <c r="CC732" s="25"/>
      <c r="CD732" s="25"/>
      <c r="CE732" s="25"/>
      <c r="CF732" s="26"/>
      <c r="CG732" s="4"/>
      <c r="CH732" s="37"/>
      <c r="CI732" s="37"/>
    </row>
    <row r="733" spans="1:87" ht="15" customHeight="1" x14ac:dyDescent="0.25">
      <c r="A733" s="31"/>
      <c r="B733" s="31"/>
      <c r="C733" s="31"/>
      <c r="D733" s="4"/>
      <c r="E733" s="24"/>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c r="CB733" s="25"/>
      <c r="CC733" s="25"/>
      <c r="CD733" s="25"/>
      <c r="CE733" s="25"/>
      <c r="CF733" s="26"/>
      <c r="CG733" s="4"/>
      <c r="CH733" s="37"/>
      <c r="CI733" s="37"/>
    </row>
    <row r="734" spans="1:87" ht="15" customHeight="1" x14ac:dyDescent="0.25">
      <c r="A734" s="31"/>
      <c r="B734" s="31"/>
      <c r="C734" s="31"/>
      <c r="D734" s="4"/>
      <c r="E734" s="24"/>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c r="CB734" s="25"/>
      <c r="CC734" s="25"/>
      <c r="CD734" s="25"/>
      <c r="CE734" s="25"/>
      <c r="CF734" s="26"/>
      <c r="CG734" s="4"/>
      <c r="CH734" s="37"/>
      <c r="CI734" s="37"/>
    </row>
    <row r="735" spans="1:87" ht="15" customHeight="1" x14ac:dyDescent="0.25">
      <c r="A735" s="31"/>
      <c r="B735" s="31"/>
      <c r="C735" s="31"/>
      <c r="D735" s="4"/>
      <c r="E735" s="24"/>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c r="CB735" s="25"/>
      <c r="CC735" s="25"/>
      <c r="CD735" s="25"/>
      <c r="CE735" s="25"/>
      <c r="CF735" s="26"/>
      <c r="CG735" s="4"/>
      <c r="CH735" s="37"/>
      <c r="CI735" s="37"/>
    </row>
    <row r="736" spans="1:87" ht="15" customHeight="1" x14ac:dyDescent="0.25">
      <c r="A736" s="31"/>
      <c r="B736" s="31"/>
      <c r="C736" s="31"/>
      <c r="D736" s="4"/>
      <c r="E736" s="24"/>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c r="CB736" s="25"/>
      <c r="CC736" s="25"/>
      <c r="CD736" s="25"/>
      <c r="CE736" s="25"/>
      <c r="CF736" s="26"/>
      <c r="CG736" s="4"/>
      <c r="CH736" s="37"/>
      <c r="CI736" s="37"/>
    </row>
    <row r="737" spans="1:87" ht="15" customHeight="1" x14ac:dyDescent="0.25">
      <c r="A737" s="31"/>
      <c r="B737" s="31"/>
      <c r="C737" s="31"/>
      <c r="D737" s="4"/>
      <c r="E737" s="24"/>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c r="CB737" s="25"/>
      <c r="CC737" s="25"/>
      <c r="CD737" s="25"/>
      <c r="CE737" s="25"/>
      <c r="CF737" s="26"/>
      <c r="CG737" s="4"/>
      <c r="CH737" s="37"/>
      <c r="CI737" s="37"/>
    </row>
    <row r="738" spans="1:87" ht="15" customHeight="1" x14ac:dyDescent="0.25">
      <c r="A738" s="31"/>
      <c r="B738" s="31"/>
      <c r="C738" s="31"/>
      <c r="D738" s="4"/>
      <c r="E738" s="24"/>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c r="CB738" s="25"/>
      <c r="CC738" s="25"/>
      <c r="CD738" s="25"/>
      <c r="CE738" s="25"/>
      <c r="CF738" s="26"/>
      <c r="CG738" s="4"/>
      <c r="CH738" s="37"/>
      <c r="CI738" s="37"/>
    </row>
    <row r="739" spans="1:87" ht="15" customHeight="1" x14ac:dyDescent="0.25">
      <c r="A739" s="31"/>
      <c r="B739" s="31"/>
      <c r="C739" s="31"/>
      <c r="D739" s="4"/>
      <c r="E739" s="24"/>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c r="CB739" s="25"/>
      <c r="CC739" s="25"/>
      <c r="CD739" s="25"/>
      <c r="CE739" s="25"/>
      <c r="CF739" s="26"/>
      <c r="CG739" s="4"/>
      <c r="CH739" s="37"/>
      <c r="CI739" s="37"/>
    </row>
    <row r="740" spans="1:87" ht="15" customHeight="1" x14ac:dyDescent="0.25">
      <c r="A740" s="31"/>
      <c r="B740" s="31"/>
      <c r="C740" s="31"/>
      <c r="D740" s="4"/>
      <c r="E740" s="24"/>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c r="CB740" s="25"/>
      <c r="CC740" s="25"/>
      <c r="CD740" s="25"/>
      <c r="CE740" s="25"/>
      <c r="CF740" s="26"/>
      <c r="CG740" s="4"/>
      <c r="CH740" s="37"/>
      <c r="CI740" s="37"/>
    </row>
    <row r="741" spans="1:87" ht="15" customHeight="1" x14ac:dyDescent="0.25">
      <c r="A741" s="31"/>
      <c r="B741" s="31"/>
      <c r="C741" s="31"/>
      <c r="D741" s="4"/>
      <c r="E741" s="24"/>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c r="CB741" s="25"/>
      <c r="CC741" s="25"/>
      <c r="CD741" s="25"/>
      <c r="CE741" s="25"/>
      <c r="CF741" s="26"/>
      <c r="CG741" s="4"/>
      <c r="CH741" s="37"/>
      <c r="CI741" s="37"/>
    </row>
    <row r="742" spans="1:87" ht="15" customHeight="1" x14ac:dyDescent="0.25">
      <c r="A742" s="31"/>
      <c r="B742" s="31"/>
      <c r="C742" s="31"/>
      <c r="D742" s="4"/>
      <c r="E742" s="24"/>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c r="CB742" s="25"/>
      <c r="CC742" s="25"/>
      <c r="CD742" s="25"/>
      <c r="CE742" s="25"/>
      <c r="CF742" s="26"/>
      <c r="CG742" s="4"/>
      <c r="CH742" s="37"/>
      <c r="CI742" s="37"/>
    </row>
    <row r="743" spans="1:87" ht="15" customHeight="1" x14ac:dyDescent="0.25">
      <c r="A743" s="31"/>
      <c r="B743" s="31"/>
      <c r="C743" s="31"/>
      <c r="D743" s="4"/>
      <c r="E743" s="24"/>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c r="CB743" s="25"/>
      <c r="CC743" s="25"/>
      <c r="CD743" s="25"/>
      <c r="CE743" s="25"/>
      <c r="CF743" s="26"/>
      <c r="CG743" s="4"/>
      <c r="CH743" s="37"/>
      <c r="CI743" s="37"/>
    </row>
    <row r="744" spans="1:87" ht="15" customHeight="1" x14ac:dyDescent="0.25">
      <c r="A744" s="31"/>
      <c r="B744" s="31"/>
      <c r="C744" s="31"/>
      <c r="D744" s="4"/>
      <c r="E744" s="24"/>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c r="CB744" s="25"/>
      <c r="CC744" s="25"/>
      <c r="CD744" s="25"/>
      <c r="CE744" s="25"/>
      <c r="CF744" s="26"/>
      <c r="CG744" s="4"/>
      <c r="CH744" s="37"/>
      <c r="CI744" s="37"/>
    </row>
    <row r="745" spans="1:87" ht="15" customHeight="1" x14ac:dyDescent="0.25">
      <c r="A745" s="31"/>
      <c r="B745" s="31"/>
      <c r="C745" s="31"/>
      <c r="D745" s="4"/>
      <c r="E745" s="24"/>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c r="CB745" s="25"/>
      <c r="CC745" s="25"/>
      <c r="CD745" s="25"/>
      <c r="CE745" s="25"/>
      <c r="CF745" s="26"/>
      <c r="CG745" s="4"/>
      <c r="CH745" s="37"/>
      <c r="CI745" s="37"/>
    </row>
    <row r="746" spans="1:87" ht="15" customHeight="1" x14ac:dyDescent="0.25">
      <c r="A746" s="31"/>
      <c r="B746" s="31"/>
      <c r="C746" s="31"/>
      <c r="D746" s="4"/>
      <c r="E746" s="24"/>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c r="CB746" s="25"/>
      <c r="CC746" s="25"/>
      <c r="CD746" s="25"/>
      <c r="CE746" s="25"/>
      <c r="CF746" s="26"/>
      <c r="CG746" s="4"/>
      <c r="CH746" s="37"/>
      <c r="CI746" s="37"/>
    </row>
    <row r="747" spans="1:87" ht="15" customHeight="1" x14ac:dyDescent="0.25">
      <c r="A747" s="31"/>
      <c r="B747" s="31"/>
      <c r="C747" s="31"/>
      <c r="D747" s="4"/>
      <c r="E747" s="24"/>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c r="CB747" s="25"/>
      <c r="CC747" s="25"/>
      <c r="CD747" s="25"/>
      <c r="CE747" s="25"/>
      <c r="CF747" s="26"/>
      <c r="CG747" s="4"/>
      <c r="CH747" s="37"/>
      <c r="CI747" s="37"/>
    </row>
    <row r="748" spans="1:87" ht="15" customHeight="1" x14ac:dyDescent="0.25">
      <c r="A748" s="31"/>
      <c r="B748" s="31"/>
      <c r="C748" s="31"/>
      <c r="D748" s="4"/>
      <c r="E748" s="24"/>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c r="CB748" s="25"/>
      <c r="CC748" s="25"/>
      <c r="CD748" s="25"/>
      <c r="CE748" s="25"/>
      <c r="CF748" s="26"/>
      <c r="CG748" s="4"/>
      <c r="CH748" s="37"/>
      <c r="CI748" s="37"/>
    </row>
    <row r="749" spans="1:87" ht="15" customHeight="1" x14ac:dyDescent="0.25">
      <c r="A749" s="31"/>
      <c r="B749" s="31"/>
      <c r="C749" s="31"/>
      <c r="D749" s="4"/>
      <c r="E749" s="24"/>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c r="CB749" s="25"/>
      <c r="CC749" s="25"/>
      <c r="CD749" s="25"/>
      <c r="CE749" s="25"/>
      <c r="CF749" s="26"/>
      <c r="CG749" s="4"/>
      <c r="CH749" s="37"/>
      <c r="CI749" s="37"/>
    </row>
    <row r="750" spans="1:87" ht="15" customHeight="1" x14ac:dyDescent="0.25">
      <c r="A750" s="31"/>
      <c r="B750" s="31"/>
      <c r="C750" s="31"/>
      <c r="D750" s="4"/>
      <c r="E750" s="24"/>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c r="CB750" s="25"/>
      <c r="CC750" s="25"/>
      <c r="CD750" s="25"/>
      <c r="CE750" s="25"/>
      <c r="CF750" s="26"/>
      <c r="CG750" s="4"/>
      <c r="CH750" s="37"/>
      <c r="CI750" s="37"/>
    </row>
    <row r="751" spans="1:87" ht="15" customHeight="1" x14ac:dyDescent="0.25">
      <c r="A751" s="31"/>
      <c r="B751" s="31"/>
      <c r="C751" s="31"/>
      <c r="D751" s="4"/>
      <c r="E751" s="24"/>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c r="CB751" s="25"/>
      <c r="CC751" s="25"/>
      <c r="CD751" s="25"/>
      <c r="CE751" s="25"/>
      <c r="CF751" s="26"/>
      <c r="CG751" s="4"/>
      <c r="CH751" s="37"/>
      <c r="CI751" s="37"/>
    </row>
    <row r="752" spans="1:87" ht="15" customHeight="1" x14ac:dyDescent="0.25">
      <c r="A752" s="31"/>
      <c r="B752" s="31"/>
      <c r="C752" s="31"/>
      <c r="D752" s="4"/>
      <c r="E752" s="24"/>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c r="CB752" s="25"/>
      <c r="CC752" s="25"/>
      <c r="CD752" s="25"/>
      <c r="CE752" s="25"/>
      <c r="CF752" s="26"/>
      <c r="CG752" s="4"/>
      <c r="CH752" s="37"/>
      <c r="CI752" s="37"/>
    </row>
    <row r="753" spans="1:87" ht="15" customHeight="1" x14ac:dyDescent="0.25">
      <c r="A753" s="31"/>
      <c r="B753" s="31"/>
      <c r="C753" s="31"/>
      <c r="D753" s="4"/>
      <c r="E753" s="24"/>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c r="CB753" s="25"/>
      <c r="CC753" s="25"/>
      <c r="CD753" s="25"/>
      <c r="CE753" s="25"/>
      <c r="CF753" s="26"/>
      <c r="CG753" s="4"/>
      <c r="CH753" s="37"/>
      <c r="CI753" s="37"/>
    </row>
    <row r="754" spans="1:87" ht="15" customHeight="1" x14ac:dyDescent="0.25">
      <c r="A754" s="31"/>
      <c r="B754" s="31"/>
      <c r="C754" s="31"/>
      <c r="D754" s="4"/>
      <c r="E754" s="24"/>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c r="CB754" s="25"/>
      <c r="CC754" s="25"/>
      <c r="CD754" s="25"/>
      <c r="CE754" s="25"/>
      <c r="CF754" s="26"/>
      <c r="CG754" s="4"/>
      <c r="CH754" s="37"/>
      <c r="CI754" s="37"/>
    </row>
    <row r="755" spans="1:87" ht="15" customHeight="1" x14ac:dyDescent="0.25">
      <c r="A755" s="31"/>
      <c r="B755" s="31"/>
      <c r="C755" s="31"/>
      <c r="D755" s="4"/>
      <c r="E755" s="24"/>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c r="CB755" s="25"/>
      <c r="CC755" s="25"/>
      <c r="CD755" s="25"/>
      <c r="CE755" s="25"/>
      <c r="CF755" s="26"/>
      <c r="CG755" s="4"/>
      <c r="CH755" s="37"/>
      <c r="CI755" s="37"/>
    </row>
    <row r="756" spans="1:87" ht="15" customHeight="1" x14ac:dyDescent="0.25">
      <c r="A756" s="31"/>
      <c r="B756" s="31"/>
      <c r="C756" s="31"/>
      <c r="D756" s="4"/>
      <c r="E756" s="24"/>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c r="CB756" s="25"/>
      <c r="CC756" s="25"/>
      <c r="CD756" s="25"/>
      <c r="CE756" s="25"/>
      <c r="CF756" s="26"/>
      <c r="CG756" s="4"/>
      <c r="CH756" s="37"/>
      <c r="CI756" s="37"/>
    </row>
    <row r="757" spans="1:87" ht="15" customHeight="1" x14ac:dyDescent="0.25">
      <c r="A757" s="31"/>
      <c r="B757" s="31"/>
      <c r="C757" s="31"/>
      <c r="D757" s="4"/>
      <c r="E757" s="24"/>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c r="CB757" s="25"/>
      <c r="CC757" s="25"/>
      <c r="CD757" s="25"/>
      <c r="CE757" s="25"/>
      <c r="CF757" s="26"/>
      <c r="CG757" s="4"/>
      <c r="CH757" s="37"/>
      <c r="CI757" s="37"/>
    </row>
    <row r="758" spans="1:87" ht="15" customHeight="1" x14ac:dyDescent="0.25">
      <c r="A758" s="31"/>
      <c r="B758" s="31"/>
      <c r="C758" s="31"/>
      <c r="D758" s="4"/>
      <c r="E758" s="24"/>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c r="CB758" s="25"/>
      <c r="CC758" s="25"/>
      <c r="CD758" s="25"/>
      <c r="CE758" s="25"/>
      <c r="CF758" s="26"/>
      <c r="CG758" s="4"/>
      <c r="CH758" s="37"/>
      <c r="CI758" s="37"/>
    </row>
    <row r="759" spans="1:87" ht="15" customHeight="1" x14ac:dyDescent="0.25">
      <c r="A759" s="31"/>
      <c r="B759" s="31"/>
      <c r="C759" s="31"/>
      <c r="D759" s="4"/>
      <c r="E759" s="24"/>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c r="CB759" s="25"/>
      <c r="CC759" s="25"/>
      <c r="CD759" s="25"/>
      <c r="CE759" s="25"/>
      <c r="CF759" s="26"/>
      <c r="CG759" s="4"/>
      <c r="CH759" s="37"/>
      <c r="CI759" s="37"/>
    </row>
    <row r="760" spans="1:87" ht="15" customHeight="1" x14ac:dyDescent="0.25">
      <c r="A760" s="31"/>
      <c r="B760" s="31"/>
      <c r="C760" s="31"/>
      <c r="D760" s="4"/>
      <c r="E760" s="24"/>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c r="CB760" s="25"/>
      <c r="CC760" s="25"/>
      <c r="CD760" s="25"/>
      <c r="CE760" s="25"/>
      <c r="CF760" s="26"/>
      <c r="CG760" s="4"/>
      <c r="CH760" s="37"/>
      <c r="CI760" s="37"/>
    </row>
    <row r="761" spans="1:87" ht="15" customHeight="1" x14ac:dyDescent="0.25">
      <c r="A761" s="31"/>
      <c r="B761" s="31"/>
      <c r="C761" s="31"/>
      <c r="D761" s="4"/>
      <c r="E761" s="24"/>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c r="CB761" s="25"/>
      <c r="CC761" s="25"/>
      <c r="CD761" s="25"/>
      <c r="CE761" s="25"/>
      <c r="CF761" s="26"/>
      <c r="CG761" s="4"/>
      <c r="CH761" s="37"/>
      <c r="CI761" s="37"/>
    </row>
    <row r="762" spans="1:87" ht="15" customHeight="1" x14ac:dyDescent="0.25">
      <c r="A762" s="31"/>
      <c r="B762" s="31"/>
      <c r="C762" s="31"/>
      <c r="D762" s="4"/>
      <c r="E762" s="24"/>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c r="CB762" s="25"/>
      <c r="CC762" s="25"/>
      <c r="CD762" s="25"/>
      <c r="CE762" s="25"/>
      <c r="CF762" s="26"/>
      <c r="CG762" s="4"/>
      <c r="CH762" s="37"/>
      <c r="CI762" s="37"/>
    </row>
    <row r="763" spans="1:87" ht="15" customHeight="1" x14ac:dyDescent="0.25">
      <c r="A763" s="31"/>
      <c r="B763" s="31"/>
      <c r="C763" s="31"/>
      <c r="D763" s="4"/>
      <c r="E763" s="24"/>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c r="CB763" s="25"/>
      <c r="CC763" s="25"/>
      <c r="CD763" s="25"/>
      <c r="CE763" s="25"/>
      <c r="CF763" s="26"/>
      <c r="CG763" s="4"/>
      <c r="CH763" s="37"/>
      <c r="CI763" s="37"/>
    </row>
    <row r="764" spans="1:87" ht="15" customHeight="1" x14ac:dyDescent="0.25">
      <c r="A764" s="31"/>
      <c r="B764" s="31"/>
      <c r="C764" s="31"/>
      <c r="D764" s="4"/>
      <c r="E764" s="24"/>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c r="CB764" s="25"/>
      <c r="CC764" s="25"/>
      <c r="CD764" s="25"/>
      <c r="CE764" s="25"/>
      <c r="CF764" s="26"/>
      <c r="CG764" s="4"/>
      <c r="CH764" s="37"/>
      <c r="CI764" s="37"/>
    </row>
    <row r="765" spans="1:87" ht="15" customHeight="1" x14ac:dyDescent="0.25">
      <c r="A765" s="31"/>
      <c r="B765" s="31"/>
      <c r="C765" s="31"/>
      <c r="D765" s="4"/>
      <c r="E765" s="24"/>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c r="CB765" s="25"/>
      <c r="CC765" s="25"/>
      <c r="CD765" s="25"/>
      <c r="CE765" s="25"/>
      <c r="CF765" s="26"/>
      <c r="CG765" s="4"/>
      <c r="CH765" s="37"/>
      <c r="CI765" s="37"/>
    </row>
    <row r="766" spans="1:87" ht="15" customHeight="1" x14ac:dyDescent="0.25">
      <c r="A766" s="31"/>
      <c r="B766" s="31"/>
      <c r="C766" s="31"/>
      <c r="D766" s="4"/>
      <c r="E766" s="24"/>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c r="CB766" s="25"/>
      <c r="CC766" s="25"/>
      <c r="CD766" s="25"/>
      <c r="CE766" s="25"/>
      <c r="CF766" s="26"/>
      <c r="CG766" s="4"/>
      <c r="CH766" s="37"/>
      <c r="CI766" s="37"/>
    </row>
    <row r="767" spans="1:87" ht="15" customHeight="1" x14ac:dyDescent="0.25">
      <c r="A767" s="31"/>
      <c r="B767" s="31"/>
      <c r="C767" s="31"/>
      <c r="D767" s="4"/>
      <c r="E767" s="24"/>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c r="CB767" s="25"/>
      <c r="CC767" s="25"/>
      <c r="CD767" s="25"/>
      <c r="CE767" s="25"/>
      <c r="CF767" s="26"/>
      <c r="CG767" s="4"/>
      <c r="CH767" s="37"/>
      <c r="CI767" s="37"/>
    </row>
    <row r="768" spans="1:87" ht="15" customHeight="1" x14ac:dyDescent="0.25">
      <c r="A768" s="31"/>
      <c r="B768" s="31"/>
      <c r="C768" s="31"/>
      <c r="D768" s="4"/>
      <c r="E768" s="24"/>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c r="CB768" s="25"/>
      <c r="CC768" s="25"/>
      <c r="CD768" s="25"/>
      <c r="CE768" s="25"/>
      <c r="CF768" s="26"/>
      <c r="CG768" s="4"/>
      <c r="CH768" s="37"/>
      <c r="CI768" s="37"/>
    </row>
    <row r="769" spans="1:87" ht="15" customHeight="1" x14ac:dyDescent="0.25">
      <c r="A769" s="31"/>
      <c r="B769" s="31"/>
      <c r="C769" s="31"/>
      <c r="D769" s="4"/>
      <c r="E769" s="24"/>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c r="CB769" s="25"/>
      <c r="CC769" s="25"/>
      <c r="CD769" s="25"/>
      <c r="CE769" s="25"/>
      <c r="CF769" s="26"/>
      <c r="CG769" s="4"/>
      <c r="CH769" s="37"/>
      <c r="CI769" s="37"/>
    </row>
    <row r="770" spans="1:87" ht="15" customHeight="1" x14ac:dyDescent="0.25">
      <c r="A770" s="31"/>
      <c r="B770" s="31"/>
      <c r="C770" s="31"/>
      <c r="D770" s="4"/>
      <c r="E770" s="24"/>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c r="CB770" s="25"/>
      <c r="CC770" s="25"/>
      <c r="CD770" s="25"/>
      <c r="CE770" s="25"/>
      <c r="CF770" s="26"/>
      <c r="CG770" s="4"/>
      <c r="CH770" s="37"/>
      <c r="CI770" s="37"/>
    </row>
    <row r="771" spans="1:87" ht="15" customHeight="1" x14ac:dyDescent="0.25">
      <c r="A771" s="31"/>
      <c r="B771" s="31"/>
      <c r="C771" s="31"/>
      <c r="D771" s="4"/>
      <c r="E771" s="24"/>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c r="CB771" s="25"/>
      <c r="CC771" s="25"/>
      <c r="CD771" s="25"/>
      <c r="CE771" s="25"/>
      <c r="CF771" s="26"/>
      <c r="CG771" s="4"/>
      <c r="CH771" s="37"/>
      <c r="CI771" s="37"/>
    </row>
    <row r="772" spans="1:87" ht="15" customHeight="1" x14ac:dyDescent="0.25">
      <c r="A772" s="31"/>
      <c r="B772" s="31"/>
      <c r="C772" s="31"/>
      <c r="D772" s="4"/>
      <c r="E772" s="24"/>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c r="CB772" s="25"/>
      <c r="CC772" s="25"/>
      <c r="CD772" s="25"/>
      <c r="CE772" s="25"/>
      <c r="CF772" s="26"/>
      <c r="CG772" s="4"/>
      <c r="CH772" s="37"/>
      <c r="CI772" s="37"/>
    </row>
    <row r="773" spans="1:87" ht="15" customHeight="1" x14ac:dyDescent="0.25">
      <c r="A773" s="31"/>
      <c r="B773" s="31"/>
      <c r="C773" s="31"/>
      <c r="D773" s="4"/>
      <c r="E773" s="24"/>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c r="CB773" s="25"/>
      <c r="CC773" s="25"/>
      <c r="CD773" s="25"/>
      <c r="CE773" s="25"/>
      <c r="CF773" s="26"/>
      <c r="CG773" s="4"/>
      <c r="CH773" s="37"/>
      <c r="CI773" s="37"/>
    </row>
    <row r="774" spans="1:87" ht="15" customHeight="1" x14ac:dyDescent="0.25">
      <c r="A774" s="31"/>
      <c r="B774" s="31"/>
      <c r="C774" s="31"/>
      <c r="D774" s="4"/>
      <c r="E774" s="24"/>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c r="CB774" s="25"/>
      <c r="CC774" s="25"/>
      <c r="CD774" s="25"/>
      <c r="CE774" s="25"/>
      <c r="CF774" s="26"/>
      <c r="CG774" s="4"/>
      <c r="CH774" s="37"/>
      <c r="CI774" s="37"/>
    </row>
    <row r="775" spans="1:87" ht="15" customHeight="1" x14ac:dyDescent="0.25">
      <c r="A775" s="31"/>
      <c r="B775" s="31"/>
      <c r="C775" s="31"/>
      <c r="D775" s="4"/>
      <c r="E775" s="24"/>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c r="CB775" s="25"/>
      <c r="CC775" s="25"/>
      <c r="CD775" s="25"/>
      <c r="CE775" s="25"/>
      <c r="CF775" s="26"/>
      <c r="CG775" s="4"/>
      <c r="CH775" s="37"/>
      <c r="CI775" s="37"/>
    </row>
    <row r="776" spans="1:87" ht="15" customHeight="1" x14ac:dyDescent="0.25">
      <c r="A776" s="31"/>
      <c r="B776" s="31"/>
      <c r="C776" s="31"/>
      <c r="D776" s="4"/>
      <c r="E776" s="24"/>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c r="CB776" s="25"/>
      <c r="CC776" s="25"/>
      <c r="CD776" s="25"/>
      <c r="CE776" s="25"/>
      <c r="CF776" s="26"/>
      <c r="CG776" s="4"/>
      <c r="CH776" s="37"/>
      <c r="CI776" s="37"/>
    </row>
    <row r="777" spans="1:87" ht="15" customHeight="1" x14ac:dyDescent="0.25">
      <c r="A777" s="31"/>
      <c r="B777" s="31"/>
      <c r="C777" s="31"/>
      <c r="D777" s="4"/>
      <c r="E777" s="24"/>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c r="CB777" s="25"/>
      <c r="CC777" s="25"/>
      <c r="CD777" s="25"/>
      <c r="CE777" s="25"/>
      <c r="CF777" s="26"/>
      <c r="CG777" s="4"/>
      <c r="CH777" s="37"/>
      <c r="CI777" s="37"/>
    </row>
    <row r="778" spans="1:87" ht="15" customHeight="1" x14ac:dyDescent="0.25">
      <c r="A778" s="31"/>
      <c r="B778" s="31"/>
      <c r="C778" s="31"/>
      <c r="D778" s="4"/>
      <c r="E778" s="24"/>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c r="CB778" s="25"/>
      <c r="CC778" s="25"/>
      <c r="CD778" s="25"/>
      <c r="CE778" s="25"/>
      <c r="CF778" s="26"/>
      <c r="CG778" s="4"/>
      <c r="CH778" s="37"/>
      <c r="CI778" s="37"/>
    </row>
    <row r="779" spans="1:87" ht="15" customHeight="1" x14ac:dyDescent="0.25">
      <c r="A779" s="31"/>
      <c r="B779" s="31"/>
      <c r="C779" s="31"/>
      <c r="D779" s="4"/>
      <c r="E779" s="24"/>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c r="CB779" s="25"/>
      <c r="CC779" s="25"/>
      <c r="CD779" s="25"/>
      <c r="CE779" s="25"/>
      <c r="CF779" s="26"/>
      <c r="CG779" s="4"/>
      <c r="CH779" s="37"/>
      <c r="CI779" s="37"/>
    </row>
    <row r="780" spans="1:87" ht="15" customHeight="1" x14ac:dyDescent="0.25">
      <c r="A780" s="31"/>
      <c r="B780" s="31"/>
      <c r="C780" s="31"/>
      <c r="D780" s="4"/>
      <c r="E780" s="24"/>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c r="CB780" s="25"/>
      <c r="CC780" s="25"/>
      <c r="CD780" s="25"/>
      <c r="CE780" s="25"/>
      <c r="CF780" s="26"/>
      <c r="CG780" s="4"/>
      <c r="CH780" s="37"/>
      <c r="CI780" s="37"/>
    </row>
    <row r="781" spans="1:87" ht="15" customHeight="1" x14ac:dyDescent="0.25">
      <c r="A781" s="31"/>
      <c r="B781" s="31"/>
      <c r="C781" s="31"/>
      <c r="D781" s="4"/>
      <c r="E781" s="24"/>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c r="CB781" s="25"/>
      <c r="CC781" s="25"/>
      <c r="CD781" s="25"/>
      <c r="CE781" s="25"/>
      <c r="CF781" s="26"/>
      <c r="CG781" s="4"/>
      <c r="CH781" s="37"/>
      <c r="CI781" s="37"/>
    </row>
    <row r="782" spans="1:87" ht="15" customHeight="1" x14ac:dyDescent="0.25">
      <c r="A782" s="31"/>
      <c r="B782" s="31"/>
      <c r="C782" s="31"/>
      <c r="D782" s="4"/>
      <c r="E782" s="24"/>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c r="CB782" s="25"/>
      <c r="CC782" s="25"/>
      <c r="CD782" s="25"/>
      <c r="CE782" s="25"/>
      <c r="CF782" s="26"/>
      <c r="CG782" s="4"/>
      <c r="CH782" s="37"/>
      <c r="CI782" s="37"/>
    </row>
    <row r="783" spans="1:87" ht="15" customHeight="1" x14ac:dyDescent="0.25">
      <c r="A783" s="31"/>
      <c r="B783" s="31"/>
      <c r="C783" s="31"/>
      <c r="D783" s="4"/>
      <c r="E783" s="24"/>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c r="CB783" s="25"/>
      <c r="CC783" s="25"/>
      <c r="CD783" s="25"/>
      <c r="CE783" s="25"/>
      <c r="CF783" s="26"/>
      <c r="CG783" s="4"/>
      <c r="CH783" s="37"/>
      <c r="CI783" s="37"/>
    </row>
    <row r="784" spans="1:87" ht="15" customHeight="1" x14ac:dyDescent="0.25">
      <c r="A784" s="31"/>
      <c r="B784" s="31"/>
      <c r="C784" s="31"/>
      <c r="D784" s="4"/>
      <c r="E784" s="24"/>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c r="CB784" s="25"/>
      <c r="CC784" s="25"/>
      <c r="CD784" s="25"/>
      <c r="CE784" s="25"/>
      <c r="CF784" s="26"/>
      <c r="CG784" s="4"/>
      <c r="CH784" s="37"/>
      <c r="CI784" s="37"/>
    </row>
    <row r="785" spans="1:87" ht="15" customHeight="1" x14ac:dyDescent="0.25">
      <c r="A785" s="31"/>
      <c r="B785" s="31"/>
      <c r="C785" s="31"/>
      <c r="D785" s="4"/>
      <c r="E785" s="24"/>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c r="CB785" s="25"/>
      <c r="CC785" s="25"/>
      <c r="CD785" s="25"/>
      <c r="CE785" s="25"/>
      <c r="CF785" s="26"/>
      <c r="CG785" s="4"/>
      <c r="CH785" s="37"/>
      <c r="CI785" s="37"/>
    </row>
    <row r="786" spans="1:87" ht="15" customHeight="1" x14ac:dyDescent="0.25">
      <c r="A786" s="31"/>
      <c r="B786" s="31"/>
      <c r="C786" s="31"/>
      <c r="D786" s="4"/>
      <c r="E786" s="24"/>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c r="CB786" s="25"/>
      <c r="CC786" s="25"/>
      <c r="CD786" s="25"/>
      <c r="CE786" s="25"/>
      <c r="CF786" s="26"/>
      <c r="CG786" s="4"/>
      <c r="CH786" s="37"/>
      <c r="CI786" s="37"/>
    </row>
    <row r="787" spans="1:87" ht="15" customHeight="1" x14ac:dyDescent="0.25">
      <c r="A787" s="31"/>
      <c r="B787" s="31"/>
      <c r="C787" s="31"/>
      <c r="D787" s="4"/>
      <c r="E787" s="24"/>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c r="CB787" s="25"/>
      <c r="CC787" s="25"/>
      <c r="CD787" s="25"/>
      <c r="CE787" s="25"/>
      <c r="CF787" s="26"/>
      <c r="CG787" s="4"/>
      <c r="CH787" s="37"/>
      <c r="CI787" s="37"/>
    </row>
    <row r="788" spans="1:87" ht="15" customHeight="1" x14ac:dyDescent="0.25">
      <c r="A788" s="31"/>
      <c r="B788" s="31"/>
      <c r="C788" s="31"/>
      <c r="D788" s="4"/>
      <c r="E788" s="24"/>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c r="CB788" s="25"/>
      <c r="CC788" s="25"/>
      <c r="CD788" s="25"/>
      <c r="CE788" s="25"/>
      <c r="CF788" s="26"/>
      <c r="CG788" s="4"/>
      <c r="CH788" s="37"/>
      <c r="CI788" s="37"/>
    </row>
    <row r="789" spans="1:87" ht="15" customHeight="1" x14ac:dyDescent="0.25">
      <c r="A789" s="31"/>
      <c r="B789" s="31"/>
      <c r="C789" s="31"/>
      <c r="D789" s="4"/>
      <c r="E789" s="24"/>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c r="CB789" s="25"/>
      <c r="CC789" s="25"/>
      <c r="CD789" s="25"/>
      <c r="CE789" s="25"/>
      <c r="CF789" s="26"/>
      <c r="CG789" s="4"/>
      <c r="CH789" s="37"/>
      <c r="CI789" s="37"/>
    </row>
    <row r="790" spans="1:87" ht="15" customHeight="1" x14ac:dyDescent="0.25">
      <c r="A790" s="31"/>
      <c r="B790" s="31"/>
      <c r="C790" s="31"/>
      <c r="D790" s="4"/>
      <c r="E790" s="24"/>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c r="CB790" s="25"/>
      <c r="CC790" s="25"/>
      <c r="CD790" s="25"/>
      <c r="CE790" s="25"/>
      <c r="CF790" s="26"/>
      <c r="CG790" s="4"/>
      <c r="CH790" s="37"/>
      <c r="CI790" s="37"/>
    </row>
    <row r="791" spans="1:87" ht="15" customHeight="1" x14ac:dyDescent="0.25">
      <c r="A791" s="31"/>
      <c r="B791" s="31"/>
      <c r="C791" s="31"/>
      <c r="D791" s="4"/>
      <c r="E791" s="24"/>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c r="CB791" s="25"/>
      <c r="CC791" s="25"/>
      <c r="CD791" s="25"/>
      <c r="CE791" s="25"/>
      <c r="CF791" s="26"/>
      <c r="CG791" s="4"/>
      <c r="CH791" s="37"/>
      <c r="CI791" s="37"/>
    </row>
    <row r="792" spans="1:87" ht="15" customHeight="1" x14ac:dyDescent="0.25">
      <c r="A792" s="31"/>
      <c r="B792" s="31"/>
      <c r="C792" s="31"/>
      <c r="D792" s="4"/>
      <c r="E792" s="24"/>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c r="CB792" s="25"/>
      <c r="CC792" s="25"/>
      <c r="CD792" s="25"/>
      <c r="CE792" s="25"/>
      <c r="CF792" s="26"/>
      <c r="CG792" s="4"/>
      <c r="CH792" s="37"/>
      <c r="CI792" s="37"/>
    </row>
    <row r="793" spans="1:87" ht="15" customHeight="1" x14ac:dyDescent="0.25">
      <c r="A793" s="31"/>
      <c r="B793" s="31"/>
      <c r="C793" s="31"/>
      <c r="D793" s="4"/>
      <c r="E793" s="24"/>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c r="CB793" s="25"/>
      <c r="CC793" s="25"/>
      <c r="CD793" s="25"/>
      <c r="CE793" s="25"/>
      <c r="CF793" s="26"/>
      <c r="CG793" s="4"/>
      <c r="CH793" s="37"/>
      <c r="CI793" s="37"/>
    </row>
    <row r="794" spans="1:87" ht="15" customHeight="1" x14ac:dyDescent="0.25">
      <c r="A794" s="31"/>
      <c r="B794" s="31"/>
      <c r="C794" s="31"/>
      <c r="D794" s="4"/>
      <c r="E794" s="24"/>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c r="CB794" s="25"/>
      <c r="CC794" s="25"/>
      <c r="CD794" s="25"/>
      <c r="CE794" s="25"/>
      <c r="CF794" s="26"/>
      <c r="CG794" s="4"/>
      <c r="CH794" s="37"/>
      <c r="CI794" s="37"/>
    </row>
    <row r="795" spans="1:87" ht="15" customHeight="1" x14ac:dyDescent="0.25">
      <c r="A795" s="31"/>
      <c r="B795" s="31"/>
      <c r="C795" s="31"/>
      <c r="D795" s="4"/>
      <c r="E795" s="24"/>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c r="CB795" s="25"/>
      <c r="CC795" s="25"/>
      <c r="CD795" s="25"/>
      <c r="CE795" s="25"/>
      <c r="CF795" s="26"/>
      <c r="CG795" s="4"/>
      <c r="CH795" s="37"/>
      <c r="CI795" s="37"/>
    </row>
    <row r="796" spans="1:87" ht="15" customHeight="1" x14ac:dyDescent="0.25">
      <c r="A796" s="31"/>
      <c r="B796" s="31"/>
      <c r="C796" s="31"/>
      <c r="D796" s="4"/>
      <c r="E796" s="24"/>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c r="CB796" s="25"/>
      <c r="CC796" s="25"/>
      <c r="CD796" s="25"/>
      <c r="CE796" s="25"/>
      <c r="CF796" s="26"/>
      <c r="CG796" s="4"/>
      <c r="CH796" s="37"/>
      <c r="CI796" s="37"/>
    </row>
    <row r="797" spans="1:87" ht="15" customHeight="1" x14ac:dyDescent="0.25">
      <c r="A797" s="31"/>
      <c r="B797" s="31"/>
      <c r="C797" s="31"/>
      <c r="D797" s="4"/>
      <c r="E797" s="24"/>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c r="CB797" s="25"/>
      <c r="CC797" s="25"/>
      <c r="CD797" s="25"/>
      <c r="CE797" s="25"/>
      <c r="CF797" s="26"/>
      <c r="CG797" s="4"/>
      <c r="CH797" s="37"/>
      <c r="CI797" s="37"/>
    </row>
    <row r="798" spans="1:87" ht="15" customHeight="1" x14ac:dyDescent="0.25">
      <c r="A798" s="31"/>
      <c r="B798" s="31"/>
      <c r="C798" s="31"/>
      <c r="D798" s="4"/>
      <c r="E798" s="24"/>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c r="CB798" s="25"/>
      <c r="CC798" s="25"/>
      <c r="CD798" s="25"/>
      <c r="CE798" s="25"/>
      <c r="CF798" s="26"/>
      <c r="CG798" s="4"/>
      <c r="CH798" s="37"/>
      <c r="CI798" s="37"/>
    </row>
    <row r="799" spans="1:87" ht="15" customHeight="1" x14ac:dyDescent="0.25">
      <c r="A799" s="31"/>
      <c r="B799" s="31"/>
      <c r="C799" s="31"/>
      <c r="D799" s="4"/>
      <c r="E799" s="24"/>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c r="CB799" s="25"/>
      <c r="CC799" s="25"/>
      <c r="CD799" s="25"/>
      <c r="CE799" s="25"/>
      <c r="CF799" s="26"/>
      <c r="CG799" s="4"/>
      <c r="CH799" s="37"/>
      <c r="CI799" s="37"/>
    </row>
    <row r="800" spans="1:87" ht="15" customHeight="1" x14ac:dyDescent="0.25">
      <c r="A800" s="31"/>
      <c r="B800" s="31"/>
      <c r="C800" s="31"/>
      <c r="D800" s="4"/>
      <c r="E800" s="24"/>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c r="CB800" s="25"/>
      <c r="CC800" s="25"/>
      <c r="CD800" s="25"/>
      <c r="CE800" s="25"/>
      <c r="CF800" s="26"/>
      <c r="CG800" s="4"/>
      <c r="CH800" s="37"/>
      <c r="CI800" s="37"/>
    </row>
    <row r="801" spans="1:87" ht="15" customHeight="1" x14ac:dyDescent="0.25">
      <c r="A801" s="31"/>
      <c r="B801" s="31"/>
      <c r="C801" s="31"/>
      <c r="D801" s="4"/>
      <c r="E801" s="24"/>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c r="CB801" s="25"/>
      <c r="CC801" s="25"/>
      <c r="CD801" s="25"/>
      <c r="CE801" s="25"/>
      <c r="CF801" s="26"/>
      <c r="CG801" s="4"/>
      <c r="CH801" s="37"/>
      <c r="CI801" s="37"/>
    </row>
    <row r="802" spans="1:87" ht="15" customHeight="1" x14ac:dyDescent="0.25">
      <c r="A802" s="31"/>
      <c r="B802" s="31"/>
      <c r="C802" s="31"/>
      <c r="D802" s="4"/>
      <c r="E802" s="24"/>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c r="CB802" s="25"/>
      <c r="CC802" s="25"/>
      <c r="CD802" s="25"/>
      <c r="CE802" s="25"/>
      <c r="CF802" s="26"/>
      <c r="CG802" s="4"/>
      <c r="CH802" s="37"/>
      <c r="CI802" s="37"/>
    </row>
    <row r="803" spans="1:87" ht="15" customHeight="1" x14ac:dyDescent="0.25">
      <c r="A803" s="31"/>
      <c r="B803" s="31"/>
      <c r="C803" s="31"/>
      <c r="D803" s="4"/>
      <c r="E803" s="24"/>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c r="CB803" s="25"/>
      <c r="CC803" s="25"/>
      <c r="CD803" s="25"/>
      <c r="CE803" s="25"/>
      <c r="CF803" s="26"/>
      <c r="CG803" s="4"/>
      <c r="CH803" s="37"/>
      <c r="CI803" s="37"/>
    </row>
    <row r="804" spans="1:87" ht="15" customHeight="1" x14ac:dyDescent="0.25">
      <c r="A804" s="31"/>
      <c r="B804" s="31"/>
      <c r="C804" s="31"/>
      <c r="D804" s="4"/>
      <c r="E804" s="24"/>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c r="CB804" s="25"/>
      <c r="CC804" s="25"/>
      <c r="CD804" s="25"/>
      <c r="CE804" s="25"/>
      <c r="CF804" s="26"/>
      <c r="CG804" s="4"/>
      <c r="CH804" s="37"/>
      <c r="CI804" s="37"/>
    </row>
    <row r="805" spans="1:87" ht="15" customHeight="1" x14ac:dyDescent="0.25">
      <c r="A805" s="31"/>
      <c r="B805" s="31"/>
      <c r="C805" s="31"/>
      <c r="D805" s="4"/>
      <c r="E805" s="24"/>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c r="CB805" s="25"/>
      <c r="CC805" s="25"/>
      <c r="CD805" s="25"/>
      <c r="CE805" s="25"/>
      <c r="CF805" s="26"/>
      <c r="CG805" s="4"/>
      <c r="CH805" s="37"/>
      <c r="CI805" s="37"/>
    </row>
    <row r="806" spans="1:87" ht="15" customHeight="1" x14ac:dyDescent="0.25">
      <c r="A806" s="31"/>
      <c r="B806" s="31"/>
      <c r="C806" s="31"/>
      <c r="D806" s="4"/>
      <c r="E806" s="24"/>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c r="CB806" s="25"/>
      <c r="CC806" s="25"/>
      <c r="CD806" s="25"/>
      <c r="CE806" s="25"/>
      <c r="CF806" s="26"/>
      <c r="CG806" s="4"/>
      <c r="CH806" s="37"/>
      <c r="CI806" s="37"/>
    </row>
    <row r="807" spans="1:87" ht="15" customHeight="1" x14ac:dyDescent="0.25">
      <c r="A807" s="31"/>
      <c r="B807" s="31"/>
      <c r="C807" s="31"/>
      <c r="D807" s="4"/>
      <c r="E807" s="24"/>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c r="CB807" s="25"/>
      <c r="CC807" s="25"/>
      <c r="CD807" s="25"/>
      <c r="CE807" s="25"/>
      <c r="CF807" s="26"/>
      <c r="CG807" s="4"/>
      <c r="CH807" s="37"/>
      <c r="CI807" s="37"/>
    </row>
    <row r="808" spans="1:87" ht="15" customHeight="1" x14ac:dyDescent="0.25">
      <c r="A808" s="31"/>
      <c r="B808" s="31"/>
      <c r="C808" s="31"/>
      <c r="D808" s="4"/>
      <c r="E808" s="24"/>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c r="CB808" s="25"/>
      <c r="CC808" s="25"/>
      <c r="CD808" s="25"/>
      <c r="CE808" s="25"/>
      <c r="CF808" s="26"/>
      <c r="CG808" s="4"/>
      <c r="CH808" s="37"/>
      <c r="CI808" s="37"/>
    </row>
    <row r="809" spans="1:87" ht="15" customHeight="1" x14ac:dyDescent="0.25">
      <c r="A809" s="31"/>
      <c r="B809" s="31"/>
      <c r="C809" s="31"/>
      <c r="D809" s="4"/>
      <c r="E809" s="24"/>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c r="CB809" s="25"/>
      <c r="CC809" s="25"/>
      <c r="CD809" s="25"/>
      <c r="CE809" s="25"/>
      <c r="CF809" s="26"/>
      <c r="CG809" s="4"/>
      <c r="CH809" s="37"/>
      <c r="CI809" s="37"/>
    </row>
    <row r="810" spans="1:87" ht="15" customHeight="1" x14ac:dyDescent="0.25">
      <c r="A810" s="31"/>
      <c r="B810" s="31"/>
      <c r="C810" s="31"/>
      <c r="D810" s="4"/>
      <c r="E810" s="24"/>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c r="CB810" s="25"/>
      <c r="CC810" s="25"/>
      <c r="CD810" s="25"/>
      <c r="CE810" s="25"/>
      <c r="CF810" s="26"/>
      <c r="CG810" s="4"/>
      <c r="CH810" s="37"/>
      <c r="CI810" s="37"/>
    </row>
    <row r="811" spans="1:87" ht="15" customHeight="1" x14ac:dyDescent="0.25">
      <c r="A811" s="31"/>
      <c r="B811" s="31"/>
      <c r="C811" s="31"/>
      <c r="D811" s="4"/>
      <c r="E811" s="24"/>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c r="CB811" s="25"/>
      <c r="CC811" s="25"/>
      <c r="CD811" s="25"/>
      <c r="CE811" s="25"/>
      <c r="CF811" s="26"/>
      <c r="CG811" s="4"/>
      <c r="CH811" s="37"/>
      <c r="CI811" s="37"/>
    </row>
    <row r="812" spans="1:87" ht="15" customHeight="1" x14ac:dyDescent="0.25">
      <c r="A812" s="31"/>
      <c r="B812" s="31"/>
      <c r="C812" s="31"/>
      <c r="D812" s="4"/>
      <c r="E812" s="24"/>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c r="CB812" s="25"/>
      <c r="CC812" s="25"/>
      <c r="CD812" s="25"/>
      <c r="CE812" s="25"/>
      <c r="CF812" s="26"/>
      <c r="CG812" s="4"/>
      <c r="CH812" s="37"/>
      <c r="CI812" s="37"/>
    </row>
    <row r="813" spans="1:87" ht="15" customHeight="1" x14ac:dyDescent="0.25">
      <c r="A813" s="31"/>
      <c r="B813" s="31"/>
      <c r="C813" s="31"/>
      <c r="D813" s="4"/>
      <c r="E813" s="24"/>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c r="CB813" s="25"/>
      <c r="CC813" s="25"/>
      <c r="CD813" s="25"/>
      <c r="CE813" s="25"/>
      <c r="CF813" s="26"/>
      <c r="CG813" s="4"/>
      <c r="CH813" s="37"/>
      <c r="CI813" s="37"/>
    </row>
    <row r="814" spans="1:87" ht="15" customHeight="1" x14ac:dyDescent="0.25">
      <c r="A814" s="31"/>
      <c r="B814" s="31"/>
      <c r="C814" s="31"/>
      <c r="D814" s="4"/>
      <c r="E814" s="24"/>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c r="CB814" s="25"/>
      <c r="CC814" s="25"/>
      <c r="CD814" s="25"/>
      <c r="CE814" s="25"/>
      <c r="CF814" s="26"/>
      <c r="CG814" s="4"/>
      <c r="CH814" s="37"/>
      <c r="CI814" s="37"/>
    </row>
    <row r="815" spans="1:87" ht="15" customHeight="1" x14ac:dyDescent="0.25">
      <c r="A815" s="31"/>
      <c r="B815" s="31"/>
      <c r="C815" s="31"/>
      <c r="D815" s="4"/>
      <c r="E815" s="24"/>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c r="CB815" s="25"/>
      <c r="CC815" s="25"/>
      <c r="CD815" s="25"/>
      <c r="CE815" s="25"/>
      <c r="CF815" s="26"/>
      <c r="CG815" s="4"/>
      <c r="CH815" s="37"/>
      <c r="CI815" s="37"/>
    </row>
    <row r="816" spans="1:87" ht="15" customHeight="1" x14ac:dyDescent="0.25">
      <c r="A816" s="31"/>
      <c r="B816" s="31"/>
      <c r="C816" s="31"/>
      <c r="D816" s="4"/>
      <c r="E816" s="24"/>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c r="CB816" s="25"/>
      <c r="CC816" s="25"/>
      <c r="CD816" s="25"/>
      <c r="CE816" s="25"/>
      <c r="CF816" s="26"/>
      <c r="CG816" s="4"/>
      <c r="CH816" s="37"/>
      <c r="CI816" s="37"/>
    </row>
    <row r="817" spans="1:87" ht="15" customHeight="1" x14ac:dyDescent="0.25">
      <c r="A817" s="31"/>
      <c r="B817" s="31"/>
      <c r="C817" s="31"/>
      <c r="D817" s="4"/>
      <c r="E817" s="24"/>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c r="CB817" s="25"/>
      <c r="CC817" s="25"/>
      <c r="CD817" s="25"/>
      <c r="CE817" s="25"/>
      <c r="CF817" s="26"/>
      <c r="CG817" s="4"/>
      <c r="CH817" s="37"/>
      <c r="CI817" s="37"/>
    </row>
    <row r="818" spans="1:87" ht="15" customHeight="1" x14ac:dyDescent="0.25">
      <c r="A818" s="31"/>
      <c r="B818" s="31"/>
      <c r="C818" s="31"/>
      <c r="D818" s="4"/>
      <c r="E818" s="24"/>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c r="CB818" s="25"/>
      <c r="CC818" s="25"/>
      <c r="CD818" s="25"/>
      <c r="CE818" s="25"/>
      <c r="CF818" s="26"/>
      <c r="CG818" s="4"/>
      <c r="CH818" s="37"/>
      <c r="CI818" s="37"/>
    </row>
    <row r="819" spans="1:87" ht="15" customHeight="1" x14ac:dyDescent="0.25">
      <c r="A819" s="31"/>
      <c r="B819" s="31"/>
      <c r="C819" s="31"/>
      <c r="D819" s="4"/>
      <c r="E819" s="24"/>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c r="CB819" s="25"/>
      <c r="CC819" s="25"/>
      <c r="CD819" s="25"/>
      <c r="CE819" s="25"/>
      <c r="CF819" s="26"/>
      <c r="CG819" s="4"/>
      <c r="CH819" s="37"/>
      <c r="CI819" s="37"/>
    </row>
    <row r="820" spans="1:87" ht="15" customHeight="1" x14ac:dyDescent="0.25">
      <c r="A820" s="31"/>
      <c r="B820" s="31"/>
      <c r="C820" s="31"/>
      <c r="D820" s="4"/>
      <c r="E820" s="24"/>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c r="CB820" s="25"/>
      <c r="CC820" s="25"/>
      <c r="CD820" s="25"/>
      <c r="CE820" s="25"/>
      <c r="CF820" s="26"/>
      <c r="CG820" s="4"/>
      <c r="CH820" s="37"/>
      <c r="CI820" s="37"/>
    </row>
    <row r="821" spans="1:87" ht="15" customHeight="1" x14ac:dyDescent="0.25">
      <c r="A821" s="31"/>
      <c r="B821" s="31"/>
      <c r="C821" s="31"/>
      <c r="D821" s="4"/>
      <c r="E821" s="24"/>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c r="CB821" s="25"/>
      <c r="CC821" s="25"/>
      <c r="CD821" s="25"/>
      <c r="CE821" s="25"/>
      <c r="CF821" s="26"/>
      <c r="CG821" s="4"/>
      <c r="CH821" s="37"/>
      <c r="CI821" s="37"/>
    </row>
    <row r="822" spans="1:87" ht="15" customHeight="1" x14ac:dyDescent="0.25">
      <c r="A822" s="31"/>
      <c r="B822" s="31"/>
      <c r="C822" s="31"/>
      <c r="D822" s="4"/>
      <c r="E822" s="24"/>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c r="CB822" s="25"/>
      <c r="CC822" s="25"/>
      <c r="CD822" s="25"/>
      <c r="CE822" s="25"/>
      <c r="CF822" s="26"/>
      <c r="CG822" s="4"/>
      <c r="CH822" s="37"/>
      <c r="CI822" s="37"/>
    </row>
    <row r="823" spans="1:87" ht="15" customHeight="1" x14ac:dyDescent="0.25">
      <c r="A823" s="31"/>
      <c r="B823" s="31"/>
      <c r="C823" s="31"/>
      <c r="D823" s="4"/>
      <c r="E823" s="24"/>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c r="CB823" s="25"/>
      <c r="CC823" s="25"/>
      <c r="CD823" s="25"/>
      <c r="CE823" s="25"/>
      <c r="CF823" s="26"/>
      <c r="CG823" s="4"/>
      <c r="CH823" s="37"/>
      <c r="CI823" s="37"/>
    </row>
    <row r="824" spans="1:87" ht="15" customHeight="1" x14ac:dyDescent="0.25">
      <c r="A824" s="31"/>
      <c r="B824" s="31"/>
      <c r="C824" s="31"/>
      <c r="D824" s="4"/>
      <c r="E824" s="24"/>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c r="CB824" s="25"/>
      <c r="CC824" s="25"/>
      <c r="CD824" s="25"/>
      <c r="CE824" s="25"/>
      <c r="CF824" s="26"/>
      <c r="CG824" s="4"/>
      <c r="CH824" s="37"/>
      <c r="CI824" s="37"/>
    </row>
    <row r="825" spans="1:87" ht="15" customHeight="1" x14ac:dyDescent="0.25">
      <c r="A825" s="31"/>
      <c r="B825" s="31"/>
      <c r="C825" s="31"/>
      <c r="D825" s="4"/>
      <c r="E825" s="24"/>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c r="CB825" s="25"/>
      <c r="CC825" s="25"/>
      <c r="CD825" s="25"/>
      <c r="CE825" s="25"/>
      <c r="CF825" s="26"/>
      <c r="CG825" s="4"/>
      <c r="CH825" s="37"/>
      <c r="CI825" s="37"/>
    </row>
    <row r="826" spans="1:87" ht="15" customHeight="1" x14ac:dyDescent="0.25">
      <c r="A826" s="31"/>
      <c r="B826" s="31"/>
      <c r="C826" s="31"/>
      <c r="D826" s="4"/>
      <c r="E826" s="24"/>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c r="CB826" s="25"/>
      <c r="CC826" s="25"/>
      <c r="CD826" s="25"/>
      <c r="CE826" s="25"/>
      <c r="CF826" s="26"/>
      <c r="CG826" s="4"/>
      <c r="CH826" s="37"/>
      <c r="CI826" s="37"/>
    </row>
    <row r="827" spans="1:87" ht="15" customHeight="1" x14ac:dyDescent="0.25">
      <c r="A827" s="31"/>
      <c r="B827" s="31"/>
      <c r="C827" s="31"/>
      <c r="D827" s="4"/>
      <c r="E827" s="24"/>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c r="CB827" s="25"/>
      <c r="CC827" s="25"/>
      <c r="CD827" s="25"/>
      <c r="CE827" s="25"/>
      <c r="CF827" s="26"/>
      <c r="CG827" s="4"/>
      <c r="CH827" s="37"/>
      <c r="CI827" s="37"/>
    </row>
    <row r="828" spans="1:87" ht="15" customHeight="1" x14ac:dyDescent="0.25">
      <c r="A828" s="31"/>
      <c r="B828" s="31"/>
      <c r="C828" s="31"/>
      <c r="D828" s="4"/>
      <c r="E828" s="24"/>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c r="CB828" s="25"/>
      <c r="CC828" s="25"/>
      <c r="CD828" s="25"/>
      <c r="CE828" s="25"/>
      <c r="CF828" s="26"/>
      <c r="CG828" s="4"/>
      <c r="CH828" s="37"/>
      <c r="CI828" s="37"/>
    </row>
    <row r="829" spans="1:87" ht="15" customHeight="1" x14ac:dyDescent="0.25">
      <c r="A829" s="31"/>
      <c r="B829" s="31"/>
      <c r="C829" s="31"/>
      <c r="D829" s="4"/>
      <c r="E829" s="24"/>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c r="CB829" s="25"/>
      <c r="CC829" s="25"/>
      <c r="CD829" s="25"/>
      <c r="CE829" s="25"/>
      <c r="CF829" s="26"/>
      <c r="CG829" s="4"/>
      <c r="CH829" s="37"/>
      <c r="CI829" s="37"/>
    </row>
    <row r="830" spans="1:87" ht="15" customHeight="1" x14ac:dyDescent="0.25">
      <c r="A830" s="31"/>
      <c r="B830" s="31"/>
      <c r="C830" s="31"/>
      <c r="D830" s="4"/>
      <c r="E830" s="24"/>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c r="CB830" s="25"/>
      <c r="CC830" s="25"/>
      <c r="CD830" s="25"/>
      <c r="CE830" s="25"/>
      <c r="CF830" s="26"/>
      <c r="CG830" s="4"/>
      <c r="CH830" s="37"/>
      <c r="CI830" s="37"/>
    </row>
    <row r="831" spans="1:87" ht="15" customHeight="1" x14ac:dyDescent="0.25">
      <c r="A831" s="31"/>
      <c r="B831" s="31"/>
      <c r="C831" s="31"/>
      <c r="D831" s="4"/>
      <c r="E831" s="24"/>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c r="CB831" s="25"/>
      <c r="CC831" s="25"/>
      <c r="CD831" s="25"/>
      <c r="CE831" s="25"/>
      <c r="CF831" s="26"/>
      <c r="CG831" s="4"/>
      <c r="CH831" s="37"/>
      <c r="CI831" s="37"/>
    </row>
    <row r="832" spans="1:87" ht="15" customHeight="1" x14ac:dyDescent="0.25">
      <c r="A832" s="31"/>
      <c r="B832" s="31"/>
      <c r="C832" s="31"/>
      <c r="D832" s="4"/>
      <c r="E832" s="24"/>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c r="CB832" s="25"/>
      <c r="CC832" s="25"/>
      <c r="CD832" s="25"/>
      <c r="CE832" s="25"/>
      <c r="CF832" s="26"/>
      <c r="CG832" s="4"/>
      <c r="CH832" s="37"/>
      <c r="CI832" s="37"/>
    </row>
    <row r="833" spans="1:87" ht="15" customHeight="1" x14ac:dyDescent="0.25">
      <c r="A833" s="31"/>
      <c r="B833" s="31"/>
      <c r="C833" s="31"/>
      <c r="D833" s="4"/>
      <c r="E833" s="24"/>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c r="CB833" s="25"/>
      <c r="CC833" s="25"/>
      <c r="CD833" s="25"/>
      <c r="CE833" s="25"/>
      <c r="CF833" s="26"/>
      <c r="CG833" s="4"/>
      <c r="CH833" s="37"/>
      <c r="CI833" s="37"/>
    </row>
    <row r="834" spans="1:87" ht="15" customHeight="1" x14ac:dyDescent="0.25">
      <c r="A834" s="31"/>
      <c r="B834" s="31"/>
      <c r="C834" s="31"/>
      <c r="D834" s="4"/>
      <c r="E834" s="24"/>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c r="CB834" s="25"/>
      <c r="CC834" s="25"/>
      <c r="CD834" s="25"/>
      <c r="CE834" s="25"/>
      <c r="CF834" s="26"/>
      <c r="CG834" s="4"/>
      <c r="CH834" s="37"/>
      <c r="CI834" s="37"/>
    </row>
    <row r="835" spans="1:87" ht="15" customHeight="1" x14ac:dyDescent="0.25">
      <c r="A835" s="31"/>
      <c r="B835" s="31"/>
      <c r="C835" s="31"/>
      <c r="D835" s="4"/>
      <c r="E835" s="24"/>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c r="CB835" s="25"/>
      <c r="CC835" s="25"/>
      <c r="CD835" s="25"/>
      <c r="CE835" s="25"/>
      <c r="CF835" s="26"/>
      <c r="CG835" s="4"/>
      <c r="CH835" s="37"/>
      <c r="CI835" s="37"/>
    </row>
    <row r="836" spans="1:87" ht="15" customHeight="1" x14ac:dyDescent="0.25">
      <c r="A836" s="31"/>
      <c r="B836" s="31"/>
      <c r="C836" s="31"/>
      <c r="D836" s="4"/>
      <c r="E836" s="24"/>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c r="CB836" s="25"/>
      <c r="CC836" s="25"/>
      <c r="CD836" s="25"/>
      <c r="CE836" s="25"/>
      <c r="CF836" s="26"/>
      <c r="CG836" s="4"/>
      <c r="CH836" s="37"/>
      <c r="CI836" s="37"/>
    </row>
    <row r="837" spans="1:87" ht="15" customHeight="1" x14ac:dyDescent="0.25">
      <c r="A837" s="31"/>
      <c r="B837" s="31"/>
      <c r="C837" s="31"/>
      <c r="D837" s="4"/>
      <c r="E837" s="24"/>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c r="CB837" s="25"/>
      <c r="CC837" s="25"/>
      <c r="CD837" s="25"/>
      <c r="CE837" s="25"/>
      <c r="CF837" s="26"/>
      <c r="CG837" s="4"/>
      <c r="CH837" s="37"/>
      <c r="CI837" s="37"/>
    </row>
    <row r="838" spans="1:87" ht="15" customHeight="1" x14ac:dyDescent="0.25">
      <c r="A838" s="31"/>
      <c r="B838" s="31"/>
      <c r="C838" s="31"/>
      <c r="D838" s="4"/>
      <c r="E838" s="24"/>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c r="CB838" s="25"/>
      <c r="CC838" s="25"/>
      <c r="CD838" s="25"/>
      <c r="CE838" s="25"/>
      <c r="CF838" s="26"/>
      <c r="CG838" s="4"/>
      <c r="CH838" s="37"/>
      <c r="CI838" s="37"/>
    </row>
    <row r="839" spans="1:87" ht="15" customHeight="1" x14ac:dyDescent="0.25">
      <c r="A839" s="31"/>
      <c r="B839" s="31"/>
      <c r="C839" s="31"/>
      <c r="D839" s="4"/>
      <c r="E839" s="24"/>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c r="CB839" s="25"/>
      <c r="CC839" s="25"/>
      <c r="CD839" s="25"/>
      <c r="CE839" s="25"/>
      <c r="CF839" s="26"/>
      <c r="CG839" s="4"/>
      <c r="CH839" s="37"/>
      <c r="CI839" s="37"/>
    </row>
    <row r="840" spans="1:87" ht="15" customHeight="1" x14ac:dyDescent="0.25">
      <c r="A840" s="31"/>
      <c r="B840" s="31"/>
      <c r="C840" s="31"/>
      <c r="D840" s="4"/>
      <c r="E840" s="24"/>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c r="CB840" s="25"/>
      <c r="CC840" s="25"/>
      <c r="CD840" s="25"/>
      <c r="CE840" s="25"/>
      <c r="CF840" s="26"/>
      <c r="CG840" s="4"/>
      <c r="CH840" s="37"/>
      <c r="CI840" s="37"/>
    </row>
    <row r="841" spans="1:87" ht="15" customHeight="1" x14ac:dyDescent="0.25">
      <c r="A841" s="31"/>
      <c r="B841" s="31"/>
      <c r="C841" s="31"/>
      <c r="D841" s="4"/>
      <c r="E841" s="24"/>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c r="CB841" s="25"/>
      <c r="CC841" s="25"/>
      <c r="CD841" s="25"/>
      <c r="CE841" s="25"/>
      <c r="CF841" s="26"/>
      <c r="CG841" s="4"/>
      <c r="CH841" s="37"/>
      <c r="CI841" s="37"/>
    </row>
    <row r="842" spans="1:87" ht="15" customHeight="1" x14ac:dyDescent="0.25">
      <c r="A842" s="31"/>
      <c r="B842" s="31"/>
      <c r="C842" s="31"/>
      <c r="D842" s="4"/>
      <c r="E842" s="24"/>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c r="CB842" s="25"/>
      <c r="CC842" s="25"/>
      <c r="CD842" s="25"/>
      <c r="CE842" s="25"/>
      <c r="CF842" s="26"/>
      <c r="CG842" s="4"/>
      <c r="CH842" s="37"/>
      <c r="CI842" s="37"/>
    </row>
    <row r="843" spans="1:87" ht="15" customHeight="1" x14ac:dyDescent="0.25">
      <c r="A843" s="31"/>
      <c r="B843" s="31"/>
      <c r="C843" s="31"/>
      <c r="D843" s="4"/>
      <c r="E843" s="24"/>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c r="CB843" s="25"/>
      <c r="CC843" s="25"/>
      <c r="CD843" s="25"/>
      <c r="CE843" s="25"/>
      <c r="CF843" s="26"/>
      <c r="CG843" s="4"/>
      <c r="CH843" s="37"/>
      <c r="CI843" s="37"/>
    </row>
    <row r="844" spans="1:87" ht="15" customHeight="1" x14ac:dyDescent="0.25">
      <c r="A844" s="31"/>
      <c r="B844" s="31"/>
      <c r="C844" s="31"/>
      <c r="D844" s="4"/>
      <c r="E844" s="24"/>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c r="CB844" s="25"/>
      <c r="CC844" s="25"/>
      <c r="CD844" s="25"/>
      <c r="CE844" s="25"/>
      <c r="CF844" s="26"/>
      <c r="CG844" s="4"/>
      <c r="CH844" s="37"/>
      <c r="CI844" s="37"/>
    </row>
    <row r="845" spans="1:87" ht="15" customHeight="1" x14ac:dyDescent="0.25">
      <c r="A845" s="31"/>
      <c r="B845" s="31"/>
      <c r="C845" s="31"/>
      <c r="D845" s="4"/>
      <c r="E845" s="24"/>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c r="CB845" s="25"/>
      <c r="CC845" s="25"/>
      <c r="CD845" s="25"/>
      <c r="CE845" s="25"/>
      <c r="CF845" s="26"/>
      <c r="CG845" s="4"/>
      <c r="CH845" s="37"/>
      <c r="CI845" s="37"/>
    </row>
    <row r="846" spans="1:87" ht="15" customHeight="1" x14ac:dyDescent="0.25">
      <c r="A846" s="31"/>
      <c r="B846" s="31"/>
      <c r="C846" s="31"/>
      <c r="D846" s="4"/>
      <c r="E846" s="24"/>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c r="CB846" s="25"/>
      <c r="CC846" s="25"/>
      <c r="CD846" s="25"/>
      <c r="CE846" s="25"/>
      <c r="CF846" s="26"/>
      <c r="CG846" s="4"/>
      <c r="CH846" s="37"/>
      <c r="CI846" s="37"/>
    </row>
    <row r="847" spans="1:87" ht="15" customHeight="1" x14ac:dyDescent="0.25">
      <c r="A847" s="31"/>
      <c r="B847" s="31"/>
      <c r="C847" s="31"/>
      <c r="D847" s="4"/>
      <c r="E847" s="24"/>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c r="CB847" s="25"/>
      <c r="CC847" s="25"/>
      <c r="CD847" s="25"/>
      <c r="CE847" s="25"/>
      <c r="CF847" s="26"/>
      <c r="CG847" s="4"/>
      <c r="CH847" s="37"/>
      <c r="CI847" s="37"/>
    </row>
    <row r="848" spans="1:87" ht="15" customHeight="1" x14ac:dyDescent="0.25">
      <c r="A848" s="31"/>
      <c r="B848" s="31"/>
      <c r="C848" s="31"/>
      <c r="D848" s="4"/>
      <c r="E848" s="24"/>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c r="CB848" s="25"/>
      <c r="CC848" s="25"/>
      <c r="CD848" s="25"/>
      <c r="CE848" s="25"/>
      <c r="CF848" s="26"/>
      <c r="CG848" s="4"/>
      <c r="CH848" s="37"/>
      <c r="CI848" s="37"/>
    </row>
    <row r="849" spans="1:87" ht="15" customHeight="1" x14ac:dyDescent="0.25">
      <c r="A849" s="31"/>
      <c r="B849" s="31"/>
      <c r="C849" s="31"/>
      <c r="D849" s="4"/>
      <c r="E849" s="24"/>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c r="CB849" s="25"/>
      <c r="CC849" s="25"/>
      <c r="CD849" s="25"/>
      <c r="CE849" s="25"/>
      <c r="CF849" s="26"/>
      <c r="CG849" s="4"/>
      <c r="CH849" s="37"/>
      <c r="CI849" s="37"/>
    </row>
    <row r="850" spans="1:87" ht="15" customHeight="1" x14ac:dyDescent="0.25">
      <c r="A850" s="31"/>
      <c r="B850" s="31"/>
      <c r="C850" s="31"/>
      <c r="D850" s="4"/>
      <c r="E850" s="24"/>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c r="CB850" s="25"/>
      <c r="CC850" s="25"/>
      <c r="CD850" s="25"/>
      <c r="CE850" s="25"/>
      <c r="CF850" s="26"/>
      <c r="CG850" s="4"/>
      <c r="CH850" s="37"/>
      <c r="CI850" s="37"/>
    </row>
    <row r="851" spans="1:87" ht="15" customHeight="1" x14ac:dyDescent="0.25">
      <c r="A851" s="31"/>
      <c r="B851" s="31"/>
      <c r="C851" s="31"/>
      <c r="D851" s="4"/>
      <c r="E851" s="24"/>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c r="CB851" s="25"/>
      <c r="CC851" s="25"/>
      <c r="CD851" s="25"/>
      <c r="CE851" s="25"/>
      <c r="CF851" s="26"/>
      <c r="CG851" s="4"/>
      <c r="CH851" s="37"/>
      <c r="CI851" s="37"/>
    </row>
    <row r="852" spans="1:87" ht="15" customHeight="1" x14ac:dyDescent="0.25">
      <c r="A852" s="31"/>
      <c r="B852" s="31"/>
      <c r="C852" s="31"/>
      <c r="D852" s="4"/>
      <c r="E852" s="24"/>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c r="CB852" s="25"/>
      <c r="CC852" s="25"/>
      <c r="CD852" s="25"/>
      <c r="CE852" s="25"/>
      <c r="CF852" s="26"/>
      <c r="CG852" s="4"/>
      <c r="CH852" s="37"/>
      <c r="CI852" s="37"/>
    </row>
    <row r="853" spans="1:87" ht="15" customHeight="1" x14ac:dyDescent="0.25">
      <c r="A853" s="31"/>
      <c r="B853" s="31"/>
      <c r="C853" s="31"/>
      <c r="D853" s="4"/>
      <c r="E853" s="24"/>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c r="CB853" s="25"/>
      <c r="CC853" s="25"/>
      <c r="CD853" s="25"/>
      <c r="CE853" s="25"/>
      <c r="CF853" s="26"/>
      <c r="CG853" s="4"/>
      <c r="CH853" s="37"/>
      <c r="CI853" s="37"/>
    </row>
    <row r="854" spans="1:87" ht="15" customHeight="1" x14ac:dyDescent="0.25">
      <c r="A854" s="31"/>
      <c r="B854" s="31"/>
      <c r="C854" s="31"/>
      <c r="D854" s="4"/>
      <c r="E854" s="24"/>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c r="CB854" s="25"/>
      <c r="CC854" s="25"/>
      <c r="CD854" s="25"/>
      <c r="CE854" s="25"/>
      <c r="CF854" s="26"/>
      <c r="CG854" s="4"/>
      <c r="CH854" s="37"/>
      <c r="CI854" s="37"/>
    </row>
    <row r="855" spans="1:87" ht="15" customHeight="1" x14ac:dyDescent="0.25">
      <c r="A855" s="31"/>
      <c r="B855" s="31"/>
      <c r="C855" s="31"/>
      <c r="D855" s="4"/>
      <c r="E855" s="24"/>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c r="CB855" s="25"/>
      <c r="CC855" s="25"/>
      <c r="CD855" s="25"/>
      <c r="CE855" s="25"/>
      <c r="CF855" s="26"/>
      <c r="CG855" s="4"/>
      <c r="CH855" s="37"/>
      <c r="CI855" s="37"/>
    </row>
    <row r="856" spans="1:87" ht="15" customHeight="1" x14ac:dyDescent="0.25">
      <c r="A856" s="31"/>
      <c r="B856" s="31"/>
      <c r="C856" s="31"/>
      <c r="D856" s="4"/>
      <c r="E856" s="24"/>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c r="CB856" s="25"/>
      <c r="CC856" s="25"/>
      <c r="CD856" s="25"/>
      <c r="CE856" s="25"/>
      <c r="CF856" s="26"/>
      <c r="CG856" s="4"/>
      <c r="CH856" s="37"/>
      <c r="CI856" s="37"/>
    </row>
    <row r="857" spans="1:87" ht="15" customHeight="1" x14ac:dyDescent="0.25">
      <c r="A857" s="31"/>
      <c r="B857" s="31"/>
      <c r="C857" s="31"/>
      <c r="D857" s="4"/>
      <c r="E857" s="24"/>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c r="CB857" s="25"/>
      <c r="CC857" s="25"/>
      <c r="CD857" s="25"/>
      <c r="CE857" s="25"/>
      <c r="CF857" s="26"/>
      <c r="CG857" s="4"/>
      <c r="CH857" s="37"/>
      <c r="CI857" s="37"/>
    </row>
    <row r="858" spans="1:87" ht="15" customHeight="1" x14ac:dyDescent="0.25">
      <c r="A858" s="31"/>
      <c r="B858" s="31"/>
      <c r="C858" s="31"/>
      <c r="D858" s="4"/>
      <c r="E858" s="24"/>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c r="CB858" s="25"/>
      <c r="CC858" s="25"/>
      <c r="CD858" s="25"/>
      <c r="CE858" s="25"/>
      <c r="CF858" s="26"/>
      <c r="CG858" s="4"/>
      <c r="CH858" s="37"/>
      <c r="CI858" s="37"/>
    </row>
    <row r="859" spans="1:87" ht="15" customHeight="1" x14ac:dyDescent="0.25">
      <c r="A859" s="31"/>
      <c r="B859" s="31"/>
      <c r="C859" s="31"/>
      <c r="D859" s="4"/>
      <c r="E859" s="24"/>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c r="CB859" s="25"/>
      <c r="CC859" s="25"/>
      <c r="CD859" s="25"/>
      <c r="CE859" s="25"/>
      <c r="CF859" s="26"/>
      <c r="CG859" s="4"/>
      <c r="CH859" s="37"/>
      <c r="CI859" s="37"/>
    </row>
    <row r="860" spans="1:87" ht="15" customHeight="1" x14ac:dyDescent="0.25">
      <c r="A860" s="31"/>
      <c r="B860" s="31"/>
      <c r="C860" s="31"/>
      <c r="D860" s="4"/>
      <c r="E860" s="24"/>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c r="CB860" s="25"/>
      <c r="CC860" s="25"/>
      <c r="CD860" s="25"/>
      <c r="CE860" s="25"/>
      <c r="CF860" s="26"/>
      <c r="CG860" s="4"/>
      <c r="CH860" s="37"/>
      <c r="CI860" s="37"/>
    </row>
    <row r="861" spans="1:87" ht="15" customHeight="1" x14ac:dyDescent="0.25">
      <c r="A861" s="31"/>
      <c r="B861" s="31"/>
      <c r="C861" s="31"/>
      <c r="D861" s="4"/>
      <c r="E861" s="24"/>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c r="CB861" s="25"/>
      <c r="CC861" s="25"/>
      <c r="CD861" s="25"/>
      <c r="CE861" s="25"/>
      <c r="CF861" s="26"/>
      <c r="CG861" s="4"/>
      <c r="CH861" s="37"/>
      <c r="CI861" s="37"/>
    </row>
    <row r="862" spans="1:87" ht="15" customHeight="1" x14ac:dyDescent="0.25">
      <c r="A862" s="31"/>
      <c r="B862" s="31"/>
      <c r="C862" s="31"/>
      <c r="D862" s="4"/>
      <c r="E862" s="24"/>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c r="CB862" s="25"/>
      <c r="CC862" s="25"/>
      <c r="CD862" s="25"/>
      <c r="CE862" s="25"/>
      <c r="CF862" s="26"/>
      <c r="CG862" s="4"/>
      <c r="CH862" s="37"/>
      <c r="CI862" s="37"/>
    </row>
    <row r="863" spans="1:87" ht="15" customHeight="1" x14ac:dyDescent="0.25">
      <c r="A863" s="31"/>
      <c r="B863" s="31"/>
      <c r="C863" s="31"/>
      <c r="D863" s="4"/>
      <c r="E863" s="24"/>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c r="CB863" s="25"/>
      <c r="CC863" s="25"/>
      <c r="CD863" s="25"/>
      <c r="CE863" s="25"/>
      <c r="CF863" s="26"/>
      <c r="CG863" s="4"/>
      <c r="CH863" s="37"/>
      <c r="CI863" s="37"/>
    </row>
    <row r="864" spans="1:87" ht="15" customHeight="1" x14ac:dyDescent="0.25">
      <c r="A864" s="31"/>
      <c r="B864" s="31"/>
      <c r="C864" s="31"/>
      <c r="D864" s="4"/>
      <c r="E864" s="24"/>
      <c r="F864" s="25"/>
      <c r="G864" s="25"/>
      <c r="H864" s="25"/>
      <c r="I864" s="25"/>
      <c r="J864" s="25"/>
      <c r="K864" s="25"/>
      <c r="L864" s="25"/>
      <c r="M864" s="25"/>
      <c r="N864" s="25"/>
      <c r="O864" s="25"/>
      <c r="P864" s="25"/>
      <c r="Q864" s="25"/>
      <c r="R864" s="25"/>
      <c r="S864" s="25"/>
      <c r="T864" s="25"/>
      <c r="U864" s="25"/>
      <c r="V864" s="25"/>
      <c r="W864" s="25"/>
      <c r="X864" s="25"/>
      <c r="Y864" s="25"/>
      <c r="Z864" s="25"/>
      <c r="AA864" s="40" t="s">
        <v>92</v>
      </c>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c r="CB864" s="25"/>
      <c r="CC864" s="25"/>
      <c r="CD864" s="25"/>
      <c r="CE864" s="25"/>
      <c r="CF864" s="26"/>
      <c r="CG864" s="4"/>
      <c r="CH864" s="37"/>
      <c r="CI864" s="37"/>
    </row>
    <row r="865" spans="1:87" ht="15" customHeight="1" x14ac:dyDescent="0.25">
      <c r="A865" s="31"/>
      <c r="B865" s="31"/>
      <c r="C865" s="31"/>
      <c r="D865" s="4"/>
      <c r="E865" s="24"/>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c r="CB865" s="25"/>
      <c r="CC865" s="25"/>
      <c r="CD865" s="25"/>
      <c r="CE865" s="25"/>
      <c r="CF865" s="26"/>
      <c r="CG865" s="4"/>
      <c r="CH865" s="37"/>
      <c r="CI865" s="37"/>
    </row>
    <row r="866" spans="1:87" ht="15" customHeight="1" x14ac:dyDescent="0.25">
      <c r="A866" s="31"/>
      <c r="B866" s="31"/>
      <c r="C866" s="31"/>
      <c r="D866" s="4"/>
      <c r="E866" s="24"/>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c r="CB866" s="25"/>
      <c r="CC866" s="25"/>
      <c r="CD866" s="25"/>
      <c r="CE866" s="25"/>
      <c r="CF866" s="26"/>
      <c r="CG866" s="4"/>
      <c r="CH866" s="37"/>
      <c r="CI866" s="37"/>
    </row>
    <row r="867" spans="1:87" ht="15" customHeight="1" x14ac:dyDescent="0.25">
      <c r="A867" s="31"/>
      <c r="B867" s="31"/>
      <c r="C867" s="31"/>
      <c r="D867" s="4"/>
      <c r="E867" s="24"/>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c r="CB867" s="25"/>
      <c r="CC867" s="25"/>
      <c r="CD867" s="25"/>
      <c r="CE867" s="25"/>
      <c r="CF867" s="26"/>
      <c r="CG867" s="4"/>
      <c r="CH867" s="37"/>
      <c r="CI867" s="37"/>
    </row>
    <row r="868" spans="1:87" ht="15" customHeight="1" x14ac:dyDescent="0.25">
      <c r="A868" s="31"/>
      <c r="B868" s="31"/>
      <c r="C868" s="31"/>
      <c r="D868" s="4"/>
      <c r="E868" s="24"/>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c r="CB868" s="25"/>
      <c r="CC868" s="25"/>
      <c r="CD868" s="25"/>
      <c r="CE868" s="25"/>
      <c r="CF868" s="26"/>
      <c r="CG868" s="4"/>
      <c r="CH868" s="37"/>
      <c r="CI868" s="37"/>
    </row>
    <row r="869" spans="1:87" ht="15" customHeight="1" x14ac:dyDescent="0.25">
      <c r="A869" s="31"/>
      <c r="B869" s="31"/>
      <c r="C869" s="31"/>
      <c r="D869" s="4"/>
      <c r="E869" s="24"/>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c r="CB869" s="25"/>
      <c r="CC869" s="25"/>
      <c r="CD869" s="25"/>
      <c r="CE869" s="25"/>
      <c r="CF869" s="26"/>
      <c r="CG869" s="4"/>
      <c r="CH869" s="37"/>
      <c r="CI869" s="37"/>
    </row>
    <row r="870" spans="1:87" ht="15" customHeight="1" x14ac:dyDescent="0.25">
      <c r="A870" s="31"/>
      <c r="B870" s="31"/>
      <c r="C870" s="31"/>
      <c r="D870" s="4"/>
      <c r="E870" s="24"/>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c r="CB870" s="25"/>
      <c r="CC870" s="25"/>
      <c r="CD870" s="25"/>
      <c r="CE870" s="25"/>
      <c r="CF870" s="26"/>
      <c r="CG870" s="4"/>
      <c r="CH870" s="37"/>
      <c r="CI870" s="37"/>
    </row>
    <row r="871" spans="1:87" ht="15" customHeight="1" x14ac:dyDescent="0.25">
      <c r="A871" s="31"/>
      <c r="B871" s="31"/>
      <c r="C871" s="31"/>
      <c r="D871" s="4"/>
      <c r="E871" s="24"/>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c r="CB871" s="25"/>
      <c r="CC871" s="25"/>
      <c r="CD871" s="25"/>
      <c r="CE871" s="25"/>
      <c r="CF871" s="26"/>
      <c r="CG871" s="4"/>
      <c r="CH871" s="37"/>
      <c r="CI871" s="37"/>
    </row>
    <row r="872" spans="1:87" ht="15" customHeight="1" x14ac:dyDescent="0.25">
      <c r="A872" s="31"/>
      <c r="B872" s="31"/>
      <c r="C872" s="31"/>
      <c r="D872" s="4"/>
      <c r="E872" s="24"/>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c r="CB872" s="25"/>
      <c r="CC872" s="25"/>
      <c r="CD872" s="25"/>
      <c r="CE872" s="25"/>
      <c r="CF872" s="26"/>
      <c r="CG872" s="4"/>
      <c r="CH872" s="37"/>
      <c r="CI872" s="37"/>
    </row>
    <row r="873" spans="1:87" ht="15" customHeight="1" x14ac:dyDescent="0.25">
      <c r="A873" s="31"/>
      <c r="B873" s="31"/>
      <c r="C873" s="31"/>
      <c r="D873" s="4"/>
      <c r="E873" s="24"/>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c r="CB873" s="25"/>
      <c r="CC873" s="25"/>
      <c r="CD873" s="25"/>
      <c r="CE873" s="25"/>
      <c r="CF873" s="26"/>
      <c r="CG873" s="4"/>
      <c r="CH873" s="37"/>
      <c r="CI873" s="37"/>
    </row>
    <row r="874" spans="1:87" ht="15" customHeight="1" x14ac:dyDescent="0.25">
      <c r="A874" s="31"/>
      <c r="B874" s="31"/>
      <c r="C874" s="31"/>
      <c r="D874" s="4"/>
      <c r="E874" s="24"/>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c r="CB874" s="25"/>
      <c r="CC874" s="25"/>
      <c r="CD874" s="25"/>
      <c r="CE874" s="25"/>
      <c r="CF874" s="26"/>
      <c r="CG874" s="4"/>
      <c r="CH874" s="37"/>
      <c r="CI874" s="37"/>
    </row>
    <row r="875" spans="1:87" ht="15" customHeight="1" x14ac:dyDescent="0.25">
      <c r="A875" s="31"/>
      <c r="B875" s="31"/>
      <c r="C875" s="31"/>
      <c r="D875" s="4"/>
      <c r="E875" s="24"/>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c r="CB875" s="25"/>
      <c r="CC875" s="25"/>
      <c r="CD875" s="25"/>
      <c r="CE875" s="25"/>
      <c r="CF875" s="26"/>
      <c r="CG875" s="4"/>
      <c r="CH875" s="37"/>
      <c r="CI875" s="37"/>
    </row>
    <row r="876" spans="1:87" ht="15" customHeight="1" x14ac:dyDescent="0.25">
      <c r="A876" s="31"/>
      <c r="B876" s="31"/>
      <c r="C876" s="31"/>
      <c r="D876" s="4"/>
      <c r="E876" s="24"/>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c r="CB876" s="25"/>
      <c r="CC876" s="25"/>
      <c r="CD876" s="25"/>
      <c r="CE876" s="25"/>
      <c r="CF876" s="26"/>
      <c r="CG876" s="4"/>
      <c r="CH876" s="37"/>
      <c r="CI876" s="37"/>
    </row>
    <row r="877" spans="1:87" ht="15" customHeight="1" x14ac:dyDescent="0.25">
      <c r="A877" s="31"/>
      <c r="B877" s="31"/>
      <c r="C877" s="31"/>
      <c r="D877" s="4"/>
      <c r="E877" s="24"/>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c r="CB877" s="25"/>
      <c r="CC877" s="25"/>
      <c r="CD877" s="25"/>
      <c r="CE877" s="25"/>
      <c r="CF877" s="26"/>
      <c r="CG877" s="4"/>
      <c r="CH877" s="37"/>
      <c r="CI877" s="37"/>
    </row>
    <row r="878" spans="1:87" ht="15" customHeight="1" x14ac:dyDescent="0.25">
      <c r="A878" s="31"/>
      <c r="B878" s="31"/>
      <c r="C878" s="31"/>
      <c r="D878" s="4"/>
      <c r="E878" s="24"/>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c r="CB878" s="25"/>
      <c r="CC878" s="25"/>
      <c r="CD878" s="25"/>
      <c r="CE878" s="25"/>
      <c r="CF878" s="26"/>
      <c r="CG878" s="4"/>
      <c r="CH878" s="37"/>
      <c r="CI878" s="37"/>
    </row>
    <row r="879" spans="1:87" ht="15" customHeight="1" x14ac:dyDescent="0.25">
      <c r="A879" s="31"/>
      <c r="B879" s="31"/>
      <c r="C879" s="31"/>
      <c r="D879" s="4"/>
      <c r="E879" s="24"/>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c r="CB879" s="25"/>
      <c r="CC879" s="25"/>
      <c r="CD879" s="25"/>
      <c r="CE879" s="25"/>
      <c r="CF879" s="26"/>
      <c r="CG879" s="4"/>
      <c r="CH879" s="37"/>
      <c r="CI879" s="37"/>
    </row>
    <row r="880" spans="1:87" ht="15" customHeight="1" x14ac:dyDescent="0.25">
      <c r="A880" s="31"/>
      <c r="B880" s="31"/>
      <c r="C880" s="31"/>
      <c r="D880" s="4"/>
      <c r="E880" s="24"/>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c r="CB880" s="25"/>
      <c r="CC880" s="25"/>
      <c r="CD880" s="25"/>
      <c r="CE880" s="25"/>
      <c r="CF880" s="26"/>
      <c r="CG880" s="4"/>
      <c r="CH880" s="37"/>
      <c r="CI880" s="37"/>
    </row>
    <row r="881" spans="1:87" ht="15" customHeight="1" x14ac:dyDescent="0.25">
      <c r="A881" s="31"/>
      <c r="B881" s="31"/>
      <c r="C881" s="31"/>
      <c r="D881" s="4"/>
      <c r="E881" s="24"/>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c r="CB881" s="25"/>
      <c r="CC881" s="25"/>
      <c r="CD881" s="25"/>
      <c r="CE881" s="25"/>
      <c r="CF881" s="26"/>
      <c r="CG881" s="4"/>
      <c r="CH881" s="37"/>
      <c r="CI881" s="37"/>
    </row>
    <row r="882" spans="1:87" ht="15" customHeight="1" x14ac:dyDescent="0.25">
      <c r="A882" s="31"/>
      <c r="B882" s="31"/>
      <c r="C882" s="31"/>
      <c r="D882" s="4"/>
      <c r="E882" s="24"/>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c r="CB882" s="25"/>
      <c r="CC882" s="25"/>
      <c r="CD882" s="25"/>
      <c r="CE882" s="25"/>
      <c r="CF882" s="26"/>
      <c r="CG882" s="4"/>
      <c r="CH882" s="37"/>
      <c r="CI882" s="37"/>
    </row>
    <row r="883" spans="1:87" ht="15" customHeight="1" x14ac:dyDescent="0.25">
      <c r="A883" s="31"/>
      <c r="B883" s="31"/>
      <c r="C883" s="31"/>
      <c r="D883" s="4"/>
      <c r="E883" s="24"/>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c r="CB883" s="25"/>
      <c r="CC883" s="25"/>
      <c r="CD883" s="25"/>
      <c r="CE883" s="25"/>
      <c r="CF883" s="26"/>
      <c r="CG883" s="4"/>
      <c r="CH883" s="37"/>
      <c r="CI883" s="37"/>
    </row>
    <row r="884" spans="1:87" ht="15" customHeight="1" x14ac:dyDescent="0.25">
      <c r="A884" s="31"/>
      <c r="B884" s="31"/>
      <c r="C884" s="31"/>
      <c r="D884" s="4"/>
      <c r="E884" s="24"/>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c r="CB884" s="25"/>
      <c r="CC884" s="25"/>
      <c r="CD884" s="25"/>
      <c r="CE884" s="25"/>
      <c r="CF884" s="26"/>
      <c r="CG884" s="4"/>
      <c r="CH884" s="37"/>
      <c r="CI884" s="37"/>
    </row>
    <row r="885" spans="1:87" ht="15" customHeight="1" x14ac:dyDescent="0.25">
      <c r="A885" s="31"/>
      <c r="B885" s="31"/>
      <c r="C885" s="31"/>
      <c r="D885" s="4"/>
      <c r="E885" s="24"/>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c r="CB885" s="25"/>
      <c r="CC885" s="25"/>
      <c r="CD885" s="25"/>
      <c r="CE885" s="25"/>
      <c r="CF885" s="26"/>
      <c r="CG885" s="4"/>
      <c r="CH885" s="37"/>
      <c r="CI885" s="37"/>
    </row>
    <row r="886" spans="1:87" ht="15" customHeight="1" x14ac:dyDescent="0.25">
      <c r="A886" s="31"/>
      <c r="B886" s="31"/>
      <c r="C886" s="31"/>
      <c r="D886" s="4"/>
      <c r="E886" s="24"/>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c r="CB886" s="25"/>
      <c r="CC886" s="25"/>
      <c r="CD886" s="25"/>
      <c r="CE886" s="25"/>
      <c r="CF886" s="26"/>
      <c r="CG886" s="4"/>
      <c r="CH886" s="37"/>
      <c r="CI886" s="37"/>
    </row>
    <row r="887" spans="1:87" ht="15" customHeight="1" x14ac:dyDescent="0.25">
      <c r="A887" s="31"/>
      <c r="B887" s="31"/>
      <c r="C887" s="31"/>
      <c r="D887" s="4"/>
      <c r="E887" s="24"/>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c r="CB887" s="25"/>
      <c r="CC887" s="25"/>
      <c r="CD887" s="25"/>
      <c r="CE887" s="25"/>
      <c r="CF887" s="26"/>
      <c r="CG887" s="4"/>
      <c r="CH887" s="37"/>
      <c r="CI887" s="37"/>
    </row>
    <row r="888" spans="1:87" ht="15" customHeight="1" x14ac:dyDescent="0.25">
      <c r="A888" s="31"/>
      <c r="B888" s="31"/>
      <c r="C888" s="31"/>
      <c r="D888" s="4"/>
      <c r="E888" s="24"/>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c r="CB888" s="25"/>
      <c r="CC888" s="25"/>
      <c r="CD888" s="25"/>
      <c r="CE888" s="25"/>
      <c r="CF888" s="26"/>
      <c r="CG888" s="4"/>
      <c r="CH888" s="37"/>
      <c r="CI888" s="37"/>
    </row>
    <row r="889" spans="1:87" ht="15" customHeight="1" x14ac:dyDescent="0.25">
      <c r="A889" s="31"/>
      <c r="B889" s="31"/>
      <c r="C889" s="31"/>
      <c r="D889" s="4"/>
      <c r="E889" s="24"/>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c r="CB889" s="25"/>
      <c r="CC889" s="25"/>
      <c r="CD889" s="25"/>
      <c r="CE889" s="25"/>
      <c r="CF889" s="26"/>
      <c r="CG889" s="4"/>
      <c r="CH889" s="37"/>
      <c r="CI889" s="37"/>
    </row>
    <row r="890" spans="1:87" ht="15" customHeight="1" x14ac:dyDescent="0.25">
      <c r="A890" s="31"/>
      <c r="B890" s="31"/>
      <c r="C890" s="31"/>
      <c r="D890" s="4"/>
      <c r="E890" s="24"/>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c r="CB890" s="25"/>
      <c r="CC890" s="25"/>
      <c r="CD890" s="25"/>
      <c r="CE890" s="25"/>
      <c r="CF890" s="26"/>
      <c r="CG890" s="4"/>
      <c r="CH890" s="37"/>
      <c r="CI890" s="37"/>
    </row>
    <row r="891" spans="1:87" ht="15" customHeight="1" x14ac:dyDescent="0.25">
      <c r="A891" s="31"/>
      <c r="B891" s="31"/>
      <c r="C891" s="31"/>
      <c r="D891" s="4"/>
      <c r="E891" s="24"/>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c r="CB891" s="25"/>
      <c r="CC891" s="25"/>
      <c r="CD891" s="25"/>
      <c r="CE891" s="25"/>
      <c r="CF891" s="26"/>
      <c r="CG891" s="4"/>
      <c r="CH891" s="37"/>
      <c r="CI891" s="37"/>
    </row>
    <row r="892" spans="1:87" ht="15" customHeight="1" x14ac:dyDescent="0.25">
      <c r="A892" s="31"/>
      <c r="B892" s="31"/>
      <c r="C892" s="31"/>
      <c r="D892" s="4"/>
      <c r="E892" s="24"/>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c r="CB892" s="25"/>
      <c r="CC892" s="25"/>
      <c r="CD892" s="25"/>
      <c r="CE892" s="25"/>
      <c r="CF892" s="26"/>
      <c r="CG892" s="4"/>
      <c r="CH892" s="37"/>
      <c r="CI892" s="37"/>
    </row>
    <row r="893" spans="1:87" ht="15" customHeight="1" x14ac:dyDescent="0.25">
      <c r="A893" s="31"/>
      <c r="B893" s="31"/>
      <c r="C893" s="31"/>
      <c r="D893" s="4"/>
      <c r="E893" s="24"/>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c r="CB893" s="25"/>
      <c r="CC893" s="25"/>
      <c r="CD893" s="25"/>
      <c r="CE893" s="25"/>
      <c r="CF893" s="26"/>
      <c r="CG893" s="4"/>
      <c r="CH893" s="37"/>
      <c r="CI893" s="37"/>
    </row>
    <row r="894" spans="1:87" ht="15" customHeight="1" x14ac:dyDescent="0.25">
      <c r="A894" s="31"/>
      <c r="B894" s="31"/>
      <c r="C894" s="31"/>
      <c r="D894" s="4"/>
      <c r="E894" s="24"/>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c r="CB894" s="25"/>
      <c r="CC894" s="25"/>
      <c r="CD894" s="25"/>
      <c r="CE894" s="25"/>
      <c r="CF894" s="26"/>
      <c r="CG894" s="4"/>
      <c r="CH894" s="37"/>
      <c r="CI894" s="37"/>
    </row>
    <row r="895" spans="1:87" ht="15" customHeight="1" x14ac:dyDescent="0.25">
      <c r="A895" s="31"/>
      <c r="B895" s="31"/>
      <c r="C895" s="31"/>
      <c r="D895" s="4"/>
      <c r="E895" s="24"/>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c r="CB895" s="25"/>
      <c r="CC895" s="25"/>
      <c r="CD895" s="25"/>
      <c r="CE895" s="25"/>
      <c r="CF895" s="26"/>
      <c r="CG895" s="4"/>
      <c r="CH895" s="37"/>
      <c r="CI895" s="37"/>
    </row>
    <row r="896" spans="1:87" ht="15" customHeight="1" x14ac:dyDescent="0.25">
      <c r="A896" s="31"/>
      <c r="B896" s="31"/>
      <c r="C896" s="31"/>
      <c r="D896" s="4"/>
      <c r="E896" s="24"/>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c r="CB896" s="25"/>
      <c r="CC896" s="25"/>
      <c r="CD896" s="25"/>
      <c r="CE896" s="25"/>
      <c r="CF896" s="26"/>
      <c r="CG896" s="4"/>
      <c r="CH896" s="37"/>
      <c r="CI896" s="37"/>
    </row>
    <row r="897" spans="1:87" ht="15" customHeight="1" x14ac:dyDescent="0.25">
      <c r="A897" s="31"/>
      <c r="B897" s="31"/>
      <c r="C897" s="31"/>
      <c r="D897" s="4"/>
      <c r="E897" s="24"/>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c r="CB897" s="25"/>
      <c r="CC897" s="25"/>
      <c r="CD897" s="25"/>
      <c r="CE897" s="25"/>
      <c r="CF897" s="26"/>
      <c r="CG897" s="4"/>
      <c r="CH897" s="37"/>
      <c r="CI897" s="37"/>
    </row>
    <row r="898" spans="1:87" ht="15" customHeight="1" x14ac:dyDescent="0.25">
      <c r="A898" s="31"/>
      <c r="B898" s="31"/>
      <c r="C898" s="31"/>
      <c r="D898" s="4"/>
      <c r="E898" s="24"/>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c r="CB898" s="25"/>
      <c r="CC898" s="25"/>
      <c r="CD898" s="25"/>
      <c r="CE898" s="25"/>
      <c r="CF898" s="26"/>
      <c r="CG898" s="4"/>
      <c r="CH898" s="37"/>
      <c r="CI898" s="37"/>
    </row>
    <row r="899" spans="1:87" ht="15" customHeight="1" x14ac:dyDescent="0.25">
      <c r="A899" s="31"/>
      <c r="B899" s="31"/>
      <c r="C899" s="31"/>
      <c r="D899" s="4"/>
      <c r="E899" s="24"/>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c r="CB899" s="25"/>
      <c r="CC899" s="25"/>
      <c r="CD899" s="25"/>
      <c r="CE899" s="25"/>
      <c r="CF899" s="26"/>
      <c r="CG899" s="4"/>
      <c r="CH899" s="37"/>
      <c r="CI899" s="37"/>
    </row>
    <row r="900" spans="1:87" ht="15" customHeight="1" x14ac:dyDescent="0.25">
      <c r="A900" s="31"/>
      <c r="B900" s="31"/>
      <c r="C900" s="31"/>
      <c r="D900" s="4"/>
      <c r="E900" s="24"/>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c r="CB900" s="25"/>
      <c r="CC900" s="25"/>
      <c r="CD900" s="25"/>
      <c r="CE900" s="25"/>
      <c r="CF900" s="26"/>
      <c r="CG900" s="4"/>
      <c r="CH900" s="37"/>
      <c r="CI900" s="37"/>
    </row>
    <row r="901" spans="1:87" ht="15" customHeight="1" x14ac:dyDescent="0.25">
      <c r="A901" s="31"/>
      <c r="B901" s="31"/>
      <c r="C901" s="31"/>
      <c r="D901" s="4"/>
      <c r="E901" s="24"/>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c r="CB901" s="25"/>
      <c r="CC901" s="25"/>
      <c r="CD901" s="25"/>
      <c r="CE901" s="25"/>
      <c r="CF901" s="26"/>
      <c r="CG901" s="4"/>
      <c r="CH901" s="37"/>
      <c r="CI901" s="37"/>
    </row>
    <row r="902" spans="1:87" ht="15" customHeight="1" x14ac:dyDescent="0.25">
      <c r="A902" s="31"/>
      <c r="B902" s="31"/>
      <c r="C902" s="31"/>
      <c r="D902" s="4"/>
      <c r="E902" s="24"/>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c r="CB902" s="25"/>
      <c r="CC902" s="25"/>
      <c r="CD902" s="25"/>
      <c r="CE902" s="25"/>
      <c r="CF902" s="26"/>
      <c r="CG902" s="4"/>
      <c r="CH902" s="37"/>
      <c r="CI902" s="37"/>
    </row>
    <row r="903" spans="1:87" ht="15" customHeight="1" x14ac:dyDescent="0.25">
      <c r="A903" s="31"/>
      <c r="B903" s="31"/>
      <c r="C903" s="31"/>
      <c r="D903" s="4"/>
      <c r="E903" s="24"/>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c r="CB903" s="25"/>
      <c r="CC903" s="25"/>
      <c r="CD903" s="25"/>
      <c r="CE903" s="25"/>
      <c r="CF903" s="26"/>
      <c r="CG903" s="4"/>
      <c r="CH903" s="37"/>
      <c r="CI903" s="37"/>
    </row>
    <row r="904" spans="1:87" ht="15" customHeight="1" x14ac:dyDescent="0.25">
      <c r="A904" s="31"/>
      <c r="B904" s="31"/>
      <c r="C904" s="31"/>
      <c r="D904" s="4"/>
      <c r="E904" s="24"/>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c r="CB904" s="25"/>
      <c r="CC904" s="25"/>
      <c r="CD904" s="25"/>
      <c r="CE904" s="25"/>
      <c r="CF904" s="26"/>
      <c r="CG904" s="4"/>
      <c r="CH904" s="37"/>
      <c r="CI904" s="37"/>
    </row>
    <row r="905" spans="1:87" ht="15" customHeight="1" x14ac:dyDescent="0.25">
      <c r="A905" s="31"/>
      <c r="B905" s="31"/>
      <c r="C905" s="31"/>
      <c r="D905" s="4"/>
      <c r="E905" s="24"/>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c r="CB905" s="25"/>
      <c r="CC905" s="25"/>
      <c r="CD905" s="25"/>
      <c r="CE905" s="25"/>
      <c r="CF905" s="26"/>
      <c r="CG905" s="4"/>
      <c r="CH905" s="37"/>
      <c r="CI905" s="37"/>
    </row>
    <row r="906" spans="1:87" ht="15" customHeight="1" x14ac:dyDescent="0.25">
      <c r="A906" s="31"/>
      <c r="B906" s="31"/>
      <c r="C906" s="31"/>
      <c r="D906" s="4"/>
      <c r="E906" s="24"/>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c r="CB906" s="25"/>
      <c r="CC906" s="25"/>
      <c r="CD906" s="25"/>
      <c r="CE906" s="25"/>
      <c r="CF906" s="26"/>
      <c r="CG906" s="4"/>
      <c r="CH906" s="37"/>
      <c r="CI906" s="37"/>
    </row>
    <row r="907" spans="1:87" ht="15" customHeight="1" x14ac:dyDescent="0.25">
      <c r="A907" s="31"/>
      <c r="B907" s="31"/>
      <c r="C907" s="31"/>
      <c r="D907" s="4"/>
      <c r="E907" s="24"/>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c r="CB907" s="25"/>
      <c r="CC907" s="25"/>
      <c r="CD907" s="25"/>
      <c r="CE907" s="25"/>
      <c r="CF907" s="26"/>
      <c r="CG907" s="4"/>
      <c r="CH907" s="37"/>
      <c r="CI907" s="37"/>
    </row>
    <row r="908" spans="1:87" ht="15" customHeight="1" x14ac:dyDescent="0.25">
      <c r="A908" s="31"/>
      <c r="B908" s="31"/>
      <c r="C908" s="31"/>
      <c r="D908" s="4"/>
      <c r="E908" s="24"/>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c r="CB908" s="25"/>
      <c r="CC908" s="25"/>
      <c r="CD908" s="25"/>
      <c r="CE908" s="25"/>
      <c r="CF908" s="26"/>
      <c r="CG908" s="4"/>
      <c r="CH908" s="37"/>
      <c r="CI908" s="37"/>
    </row>
    <row r="909" spans="1:87" ht="15" customHeight="1" x14ac:dyDescent="0.25">
      <c r="A909" s="31"/>
      <c r="B909" s="31"/>
      <c r="C909" s="31"/>
      <c r="D909" s="4"/>
      <c r="E909" s="24"/>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c r="CB909" s="25"/>
      <c r="CC909" s="25"/>
      <c r="CD909" s="25"/>
      <c r="CE909" s="25"/>
      <c r="CF909" s="26"/>
      <c r="CG909" s="4"/>
      <c r="CH909" s="37"/>
      <c r="CI909" s="37"/>
    </row>
    <row r="910" spans="1:87" ht="15" customHeight="1" x14ac:dyDescent="0.25">
      <c r="A910" s="31"/>
      <c r="B910" s="31"/>
      <c r="C910" s="31"/>
      <c r="D910" s="4"/>
      <c r="E910" s="24"/>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c r="CB910" s="25"/>
      <c r="CC910" s="25"/>
      <c r="CD910" s="25"/>
      <c r="CE910" s="25"/>
      <c r="CF910" s="26"/>
      <c r="CG910" s="4"/>
      <c r="CH910" s="37"/>
      <c r="CI910" s="37"/>
    </row>
    <row r="911" spans="1:87" ht="15" customHeight="1" x14ac:dyDescent="0.25">
      <c r="A911" s="31"/>
      <c r="B911" s="31"/>
      <c r="C911" s="31"/>
      <c r="D911" s="4"/>
      <c r="E911" s="24"/>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c r="CB911" s="25"/>
      <c r="CC911" s="25"/>
      <c r="CD911" s="25"/>
      <c r="CE911" s="25"/>
      <c r="CF911" s="26"/>
      <c r="CG911" s="4"/>
      <c r="CH911" s="37"/>
      <c r="CI911" s="37"/>
    </row>
    <row r="912" spans="1:87" ht="15" customHeight="1" x14ac:dyDescent="0.25">
      <c r="A912" s="31"/>
      <c r="B912" s="31"/>
      <c r="C912" s="31"/>
      <c r="D912" s="4"/>
      <c r="E912" s="24"/>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c r="CB912" s="25"/>
      <c r="CC912" s="25"/>
      <c r="CD912" s="25"/>
      <c r="CE912" s="25"/>
      <c r="CF912" s="26"/>
      <c r="CG912" s="4"/>
      <c r="CH912" s="37"/>
      <c r="CI912" s="37"/>
    </row>
    <row r="913" spans="1:87" ht="15" customHeight="1" x14ac:dyDescent="0.25">
      <c r="A913" s="31"/>
      <c r="B913" s="31"/>
      <c r="C913" s="31"/>
      <c r="D913" s="4"/>
      <c r="E913" s="24"/>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c r="CB913" s="25"/>
      <c r="CC913" s="25"/>
      <c r="CD913" s="25"/>
      <c r="CE913" s="25"/>
      <c r="CF913" s="26"/>
      <c r="CG913" s="4"/>
      <c r="CH913" s="37"/>
      <c r="CI913" s="37"/>
    </row>
    <row r="914" spans="1:87" ht="15" customHeight="1" x14ac:dyDescent="0.25">
      <c r="A914" s="31"/>
      <c r="B914" s="31"/>
      <c r="C914" s="31"/>
      <c r="D914" s="4"/>
      <c r="E914" s="24"/>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c r="CB914" s="25"/>
      <c r="CC914" s="25"/>
      <c r="CD914" s="25"/>
      <c r="CE914" s="25"/>
      <c r="CF914" s="26"/>
      <c r="CG914" s="4"/>
      <c r="CH914" s="37"/>
      <c r="CI914" s="37"/>
    </row>
    <row r="915" spans="1:87" ht="15" customHeight="1" x14ac:dyDescent="0.25">
      <c r="A915" s="31"/>
      <c r="B915" s="31"/>
      <c r="C915" s="31"/>
      <c r="D915" s="4"/>
      <c r="E915" s="24"/>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c r="CB915" s="25"/>
      <c r="CC915" s="25"/>
      <c r="CD915" s="25"/>
      <c r="CE915" s="25"/>
      <c r="CF915" s="26"/>
      <c r="CG915" s="4"/>
      <c r="CH915" s="37"/>
      <c r="CI915" s="37"/>
    </row>
    <row r="916" spans="1:87" ht="15" customHeight="1" x14ac:dyDescent="0.25">
      <c r="A916" s="31"/>
      <c r="B916" s="31"/>
      <c r="C916" s="31"/>
      <c r="D916" s="4"/>
      <c r="E916" s="24"/>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c r="CB916" s="25"/>
      <c r="CC916" s="25"/>
      <c r="CD916" s="25"/>
      <c r="CE916" s="25"/>
      <c r="CF916" s="26"/>
      <c r="CG916" s="4"/>
      <c r="CH916" s="37"/>
      <c r="CI916" s="37"/>
    </row>
    <row r="917" spans="1:87" ht="15" customHeight="1" x14ac:dyDescent="0.25">
      <c r="A917" s="31"/>
      <c r="B917" s="31"/>
      <c r="C917" s="31"/>
      <c r="D917" s="4"/>
      <c r="E917" s="24"/>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c r="CB917" s="25"/>
      <c r="CC917" s="25"/>
      <c r="CD917" s="25"/>
      <c r="CE917" s="25"/>
      <c r="CF917" s="26"/>
      <c r="CG917" s="4"/>
      <c r="CH917" s="37"/>
      <c r="CI917" s="37"/>
    </row>
    <row r="918" spans="1:87" ht="15" customHeight="1" x14ac:dyDescent="0.25">
      <c r="A918" s="31"/>
      <c r="B918" s="31"/>
      <c r="C918" s="31"/>
      <c r="D918" s="4"/>
      <c r="E918" s="24"/>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c r="CB918" s="25"/>
      <c r="CC918" s="25"/>
      <c r="CD918" s="25"/>
      <c r="CE918" s="25"/>
      <c r="CF918" s="26"/>
      <c r="CG918" s="4"/>
      <c r="CH918" s="37"/>
      <c r="CI918" s="37"/>
    </row>
    <row r="919" spans="1:87" ht="15" customHeight="1" x14ac:dyDescent="0.25">
      <c r="A919" s="31"/>
      <c r="B919" s="31"/>
      <c r="C919" s="31"/>
      <c r="D919" s="4"/>
      <c r="E919" s="24"/>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c r="CB919" s="25"/>
      <c r="CC919" s="25"/>
      <c r="CD919" s="25"/>
      <c r="CE919" s="25"/>
      <c r="CF919" s="26"/>
      <c r="CG919" s="4"/>
      <c r="CH919" s="37"/>
      <c r="CI919" s="37"/>
    </row>
    <row r="920" spans="1:87" ht="15" customHeight="1" x14ac:dyDescent="0.25">
      <c r="A920" s="31"/>
      <c r="B920" s="31"/>
      <c r="C920" s="31"/>
      <c r="D920" s="4"/>
      <c r="E920" s="24"/>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c r="CB920" s="25"/>
      <c r="CC920" s="25"/>
      <c r="CD920" s="25"/>
      <c r="CE920" s="25"/>
      <c r="CF920" s="26"/>
      <c r="CG920" s="4"/>
      <c r="CH920" s="37"/>
      <c r="CI920" s="37"/>
    </row>
    <row r="921" spans="1:87" ht="15" customHeight="1" x14ac:dyDescent="0.25">
      <c r="A921" s="31"/>
      <c r="B921" s="31"/>
      <c r="C921" s="31"/>
      <c r="D921" s="4"/>
      <c r="E921" s="24"/>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c r="CB921" s="25"/>
      <c r="CC921" s="25"/>
      <c r="CD921" s="25"/>
      <c r="CE921" s="25"/>
      <c r="CF921" s="26"/>
      <c r="CG921" s="4"/>
      <c r="CH921" s="37"/>
      <c r="CI921" s="37"/>
    </row>
    <row r="922" spans="1:87" ht="15" customHeight="1" x14ac:dyDescent="0.25">
      <c r="A922" s="31"/>
      <c r="B922" s="31"/>
      <c r="C922" s="31"/>
      <c r="D922" s="4"/>
      <c r="E922" s="24"/>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c r="CB922" s="25"/>
      <c r="CC922" s="25"/>
      <c r="CD922" s="25"/>
      <c r="CE922" s="25"/>
      <c r="CF922" s="26"/>
      <c r="CG922" s="4"/>
      <c r="CH922" s="37"/>
      <c r="CI922" s="37"/>
    </row>
    <row r="923" spans="1:87" ht="15" customHeight="1" x14ac:dyDescent="0.25">
      <c r="A923" s="31"/>
      <c r="B923" s="31"/>
      <c r="C923" s="31"/>
      <c r="D923" s="4"/>
      <c r="E923" s="24"/>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c r="CB923" s="25"/>
      <c r="CC923" s="25"/>
      <c r="CD923" s="25"/>
      <c r="CE923" s="25"/>
      <c r="CF923" s="26"/>
      <c r="CG923" s="4"/>
      <c r="CH923" s="37"/>
      <c r="CI923" s="37"/>
    </row>
    <row r="924" spans="1:87" ht="15" customHeight="1" x14ac:dyDescent="0.25">
      <c r="A924" s="31"/>
      <c r="B924" s="31"/>
      <c r="C924" s="31"/>
      <c r="D924" s="4"/>
      <c r="E924" s="24"/>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c r="CB924" s="25"/>
      <c r="CC924" s="25"/>
      <c r="CD924" s="25"/>
      <c r="CE924" s="25"/>
      <c r="CF924" s="26"/>
      <c r="CG924" s="4"/>
      <c r="CH924" s="37"/>
      <c r="CI924" s="37"/>
    </row>
    <row r="925" spans="1:87" ht="15" customHeight="1" x14ac:dyDescent="0.25">
      <c r="A925" s="31"/>
      <c r="B925" s="31"/>
      <c r="C925" s="31"/>
      <c r="D925" s="4"/>
      <c r="E925" s="24"/>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c r="CB925" s="25"/>
      <c r="CC925" s="25"/>
      <c r="CD925" s="25"/>
      <c r="CE925" s="25"/>
      <c r="CF925" s="26"/>
      <c r="CG925" s="4"/>
      <c r="CH925" s="37"/>
      <c r="CI925" s="37"/>
    </row>
    <row r="926" spans="1:87" ht="15" customHeight="1" x14ac:dyDescent="0.25">
      <c r="A926" s="31"/>
      <c r="B926" s="31"/>
      <c r="C926" s="31"/>
      <c r="D926" s="4"/>
      <c r="E926" s="24"/>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c r="CB926" s="25"/>
      <c r="CC926" s="25"/>
      <c r="CD926" s="25"/>
      <c r="CE926" s="25"/>
      <c r="CF926" s="26"/>
      <c r="CG926" s="4"/>
      <c r="CH926" s="37"/>
      <c r="CI926" s="37"/>
    </row>
    <row r="927" spans="1:87" ht="15" customHeight="1" x14ac:dyDescent="0.25">
      <c r="A927" s="31"/>
      <c r="B927" s="31"/>
      <c r="C927" s="31"/>
      <c r="D927" s="4"/>
      <c r="E927" s="24"/>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c r="CB927" s="25"/>
      <c r="CC927" s="25"/>
      <c r="CD927" s="25"/>
      <c r="CE927" s="25"/>
      <c r="CF927" s="26"/>
      <c r="CG927" s="4"/>
      <c r="CH927" s="37"/>
      <c r="CI927" s="37"/>
    </row>
    <row r="928" spans="1:87" ht="15" customHeight="1" x14ac:dyDescent="0.25">
      <c r="A928" s="31"/>
      <c r="B928" s="31"/>
      <c r="C928" s="31"/>
      <c r="D928" s="4"/>
      <c r="E928" s="24"/>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c r="CB928" s="25"/>
      <c r="CC928" s="25"/>
      <c r="CD928" s="25"/>
      <c r="CE928" s="25"/>
      <c r="CF928" s="26"/>
      <c r="CG928" s="4"/>
      <c r="CH928" s="37"/>
      <c r="CI928" s="37"/>
    </row>
    <row r="929" spans="1:87" ht="15" customHeight="1" x14ac:dyDescent="0.25">
      <c r="A929" s="31"/>
      <c r="B929" s="31"/>
      <c r="C929" s="31"/>
      <c r="D929" s="4"/>
      <c r="E929" s="24"/>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c r="CB929" s="25"/>
      <c r="CC929" s="25"/>
      <c r="CD929" s="25"/>
      <c r="CE929" s="25"/>
      <c r="CF929" s="26"/>
      <c r="CG929" s="4"/>
      <c r="CH929" s="37"/>
      <c r="CI929" s="37"/>
    </row>
    <row r="930" spans="1:87" ht="15" customHeight="1" x14ac:dyDescent="0.25">
      <c r="A930" s="31"/>
      <c r="B930" s="31"/>
      <c r="C930" s="31"/>
      <c r="D930" s="4"/>
      <c r="E930" s="24"/>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c r="CB930" s="25"/>
      <c r="CC930" s="25"/>
      <c r="CD930" s="25"/>
      <c r="CE930" s="25"/>
      <c r="CF930" s="26"/>
      <c r="CG930" s="4"/>
      <c r="CH930" s="37"/>
      <c r="CI930" s="37"/>
    </row>
    <row r="931" spans="1:87" ht="15" customHeight="1" x14ac:dyDescent="0.25">
      <c r="A931" s="31"/>
      <c r="B931" s="31"/>
      <c r="C931" s="31"/>
      <c r="D931" s="4"/>
      <c r="E931" s="24"/>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c r="CB931" s="25"/>
      <c r="CC931" s="25"/>
      <c r="CD931" s="25"/>
      <c r="CE931" s="25"/>
      <c r="CF931" s="26"/>
      <c r="CG931" s="4"/>
      <c r="CH931" s="37"/>
      <c r="CI931" s="37"/>
    </row>
    <row r="932" spans="1:87" ht="15" customHeight="1" x14ac:dyDescent="0.25">
      <c r="A932" s="31"/>
      <c r="B932" s="31"/>
      <c r="C932" s="31"/>
      <c r="D932" s="4"/>
      <c r="E932" s="24"/>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c r="CB932" s="25"/>
      <c r="CC932" s="25"/>
      <c r="CD932" s="25"/>
      <c r="CE932" s="25"/>
      <c r="CF932" s="26"/>
      <c r="CG932" s="4"/>
      <c r="CH932" s="37"/>
      <c r="CI932" s="37"/>
    </row>
    <row r="933" spans="1:87" ht="15" customHeight="1" x14ac:dyDescent="0.25">
      <c r="A933" s="31"/>
      <c r="B933" s="31"/>
      <c r="C933" s="31"/>
      <c r="D933" s="4"/>
      <c r="E933" s="24"/>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c r="CB933" s="25"/>
      <c r="CC933" s="25"/>
      <c r="CD933" s="25"/>
      <c r="CE933" s="25"/>
      <c r="CF933" s="26"/>
      <c r="CG933" s="4"/>
      <c r="CH933" s="37"/>
      <c r="CI933" s="37"/>
    </row>
    <row r="934" spans="1:87" ht="15" customHeight="1" x14ac:dyDescent="0.25">
      <c r="A934" s="31"/>
      <c r="B934" s="31"/>
      <c r="C934" s="31"/>
      <c r="D934" s="4"/>
      <c r="E934" s="24"/>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c r="CB934" s="25"/>
      <c r="CC934" s="25"/>
      <c r="CD934" s="25"/>
      <c r="CE934" s="25"/>
      <c r="CF934" s="26"/>
      <c r="CG934" s="4"/>
      <c r="CH934" s="37"/>
      <c r="CI934" s="37"/>
    </row>
    <row r="935" spans="1:87" ht="15" customHeight="1" x14ac:dyDescent="0.25">
      <c r="A935" s="31"/>
      <c r="B935" s="31"/>
      <c r="C935" s="31"/>
      <c r="D935" s="4"/>
      <c r="E935" s="24"/>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c r="CB935" s="25"/>
      <c r="CC935" s="25"/>
      <c r="CD935" s="25"/>
      <c r="CE935" s="25"/>
      <c r="CF935" s="26"/>
      <c r="CG935" s="4"/>
      <c r="CH935" s="37"/>
      <c r="CI935" s="37"/>
    </row>
    <row r="936" spans="1:87" ht="15" customHeight="1" x14ac:dyDescent="0.25">
      <c r="A936" s="31"/>
      <c r="B936" s="31"/>
      <c r="C936" s="31"/>
      <c r="D936" s="4"/>
      <c r="E936" s="24"/>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c r="CB936" s="25"/>
      <c r="CC936" s="25"/>
      <c r="CD936" s="25"/>
      <c r="CE936" s="25"/>
      <c r="CF936" s="26"/>
      <c r="CG936" s="4"/>
      <c r="CH936" s="37"/>
      <c r="CI936" s="37"/>
    </row>
    <row r="937" spans="1:87" ht="15" customHeight="1" x14ac:dyDescent="0.25">
      <c r="A937" s="31"/>
      <c r="B937" s="31"/>
      <c r="C937" s="31"/>
      <c r="D937" s="4"/>
      <c r="E937" s="24"/>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c r="CB937" s="25"/>
      <c r="CC937" s="25"/>
      <c r="CD937" s="25"/>
      <c r="CE937" s="25"/>
      <c r="CF937" s="26"/>
      <c r="CG937" s="4"/>
      <c r="CH937" s="37"/>
      <c r="CI937" s="37"/>
    </row>
    <row r="938" spans="1:87" ht="15" customHeight="1" x14ac:dyDescent="0.25">
      <c r="A938" s="31"/>
      <c r="B938" s="31"/>
      <c r="C938" s="31"/>
      <c r="D938" s="4"/>
      <c r="E938" s="24"/>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c r="CB938" s="25"/>
      <c r="CC938" s="25"/>
      <c r="CD938" s="25"/>
      <c r="CE938" s="25"/>
      <c r="CF938" s="26"/>
      <c r="CG938" s="4"/>
      <c r="CH938" s="37"/>
      <c r="CI938" s="37"/>
    </row>
    <row r="939" spans="1:87" ht="15" customHeight="1" x14ac:dyDescent="0.25">
      <c r="A939" s="31"/>
      <c r="B939" s="31"/>
      <c r="C939" s="31"/>
      <c r="D939" s="4"/>
      <c r="E939" s="24"/>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c r="CB939" s="25"/>
      <c r="CC939" s="25"/>
      <c r="CD939" s="25"/>
      <c r="CE939" s="25"/>
      <c r="CF939" s="26"/>
      <c r="CG939" s="4"/>
      <c r="CH939" s="37"/>
      <c r="CI939" s="37"/>
    </row>
    <row r="940" spans="1:87" ht="15" customHeight="1" x14ac:dyDescent="0.25">
      <c r="A940" s="31"/>
      <c r="B940" s="31"/>
      <c r="C940" s="31"/>
      <c r="D940" s="4"/>
      <c r="E940" s="24"/>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c r="CB940" s="25"/>
      <c r="CC940" s="25"/>
      <c r="CD940" s="25"/>
      <c r="CE940" s="25"/>
      <c r="CF940" s="26"/>
      <c r="CG940" s="4"/>
      <c r="CH940" s="37"/>
      <c r="CI940" s="37"/>
    </row>
    <row r="941" spans="1:87" ht="15" customHeight="1" x14ac:dyDescent="0.25">
      <c r="A941" s="31"/>
      <c r="B941" s="31"/>
      <c r="C941" s="31"/>
      <c r="D941" s="4"/>
      <c r="E941" s="24"/>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c r="AT941" s="25"/>
      <c r="AU941" s="25"/>
      <c r="AV941" s="25"/>
      <c r="AW941" s="25"/>
      <c r="AX941" s="25"/>
      <c r="AY941" s="25"/>
      <c r="AZ941" s="25"/>
      <c r="BA941" s="25"/>
      <c r="BB941" s="25"/>
      <c r="BC941" s="25"/>
      <c r="BD941" s="25"/>
      <c r="BE941" s="25"/>
      <c r="BF941" s="25"/>
      <c r="BG941" s="25"/>
      <c r="BH941" s="25"/>
      <c r="BI941" s="25"/>
      <c r="BJ941" s="25"/>
      <c r="BK941" s="25"/>
      <c r="BL941" s="25"/>
      <c r="BM941" s="25"/>
      <c r="BN941" s="25"/>
      <c r="BO941" s="25"/>
      <c r="BP941" s="25"/>
      <c r="BQ941" s="25"/>
      <c r="BR941" s="25"/>
      <c r="BS941" s="25"/>
      <c r="BT941" s="25"/>
      <c r="BU941" s="25"/>
      <c r="BV941" s="25"/>
      <c r="BW941" s="25"/>
      <c r="BX941" s="25"/>
      <c r="BY941" s="25"/>
      <c r="BZ941" s="25"/>
      <c r="CA941" s="25"/>
      <c r="CB941" s="25"/>
      <c r="CC941" s="25"/>
      <c r="CD941" s="25"/>
      <c r="CE941" s="25"/>
      <c r="CF941" s="26"/>
      <c r="CG941" s="4"/>
      <c r="CH941" s="37"/>
      <c r="CI941" s="37"/>
    </row>
    <row r="942" spans="1:87" ht="15" customHeight="1" x14ac:dyDescent="0.25">
      <c r="A942" s="31"/>
      <c r="B942" s="31"/>
      <c r="C942" s="31"/>
      <c r="D942" s="4"/>
      <c r="E942" s="24"/>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c r="AT942" s="25"/>
      <c r="AU942" s="25"/>
      <c r="AV942" s="25"/>
      <c r="AW942" s="25"/>
      <c r="AX942" s="25"/>
      <c r="AY942" s="25"/>
      <c r="AZ942" s="25"/>
      <c r="BA942" s="25"/>
      <c r="BB942" s="25"/>
      <c r="BC942" s="25"/>
      <c r="BD942" s="25"/>
      <c r="BE942" s="25"/>
      <c r="BF942" s="25"/>
      <c r="BG942" s="25"/>
      <c r="BH942" s="25"/>
      <c r="BI942" s="25"/>
      <c r="BJ942" s="25"/>
      <c r="BK942" s="25"/>
      <c r="BL942" s="25"/>
      <c r="BM942" s="25"/>
      <c r="BN942" s="25"/>
      <c r="BO942" s="25"/>
      <c r="BP942" s="25"/>
      <c r="BQ942" s="25"/>
      <c r="BR942" s="25"/>
      <c r="BS942" s="25"/>
      <c r="BT942" s="25"/>
      <c r="BU942" s="25"/>
      <c r="BV942" s="25"/>
      <c r="BW942" s="25"/>
      <c r="BX942" s="25"/>
      <c r="BY942" s="25"/>
      <c r="BZ942" s="25"/>
      <c r="CA942" s="25"/>
      <c r="CB942" s="25"/>
      <c r="CC942" s="25"/>
      <c r="CD942" s="25"/>
      <c r="CE942" s="25"/>
      <c r="CF942" s="26"/>
      <c r="CG942" s="4"/>
      <c r="CH942" s="37"/>
      <c r="CI942" s="37"/>
    </row>
    <row r="943" spans="1:87" ht="15" customHeight="1" x14ac:dyDescent="0.25">
      <c r="A943" s="31"/>
      <c r="B943" s="31"/>
      <c r="C943" s="31"/>
      <c r="D943" s="4"/>
      <c r="E943" s="24"/>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c r="AT943" s="25"/>
      <c r="AU943" s="25"/>
      <c r="AV943" s="25"/>
      <c r="AW943" s="25"/>
      <c r="AX943" s="25"/>
      <c r="AY943" s="25"/>
      <c r="AZ943" s="25"/>
      <c r="BA943" s="25"/>
      <c r="BB943" s="25"/>
      <c r="BC943" s="25"/>
      <c r="BD943" s="25"/>
      <c r="BE943" s="25"/>
      <c r="BF943" s="25"/>
      <c r="BG943" s="25"/>
      <c r="BH943" s="25"/>
      <c r="BI943" s="25"/>
      <c r="BJ943" s="25"/>
      <c r="BK943" s="25"/>
      <c r="BL943" s="25"/>
      <c r="BM943" s="25"/>
      <c r="BN943" s="25"/>
      <c r="BO943" s="25"/>
      <c r="BP943" s="25"/>
      <c r="BQ943" s="25"/>
      <c r="BR943" s="25"/>
      <c r="BS943" s="25"/>
      <c r="BT943" s="25"/>
      <c r="BU943" s="25"/>
      <c r="BV943" s="25"/>
      <c r="BW943" s="25"/>
      <c r="BX943" s="25"/>
      <c r="BY943" s="25"/>
      <c r="BZ943" s="25"/>
      <c r="CA943" s="25"/>
      <c r="CB943" s="25"/>
      <c r="CC943" s="25"/>
      <c r="CD943" s="25"/>
      <c r="CE943" s="25"/>
      <c r="CF943" s="26"/>
      <c r="CG943" s="4"/>
      <c r="CH943" s="37"/>
      <c r="CI943" s="37"/>
    </row>
    <row r="944" spans="1:87" ht="15" customHeight="1" x14ac:dyDescent="0.25">
      <c r="A944" s="31"/>
      <c r="B944" s="31"/>
      <c r="C944" s="31"/>
      <c r="D944" s="4"/>
      <c r="E944" s="24"/>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c r="AT944" s="25"/>
      <c r="AU944" s="25"/>
      <c r="AV944" s="25"/>
      <c r="AW944" s="25"/>
      <c r="AX944" s="25"/>
      <c r="AY944" s="25"/>
      <c r="AZ944" s="25"/>
      <c r="BA944" s="25"/>
      <c r="BB944" s="25"/>
      <c r="BC944" s="25"/>
      <c r="BD944" s="25"/>
      <c r="BE944" s="25"/>
      <c r="BF944" s="25"/>
      <c r="BG944" s="25"/>
      <c r="BH944" s="25"/>
      <c r="BI944" s="25"/>
      <c r="BJ944" s="25"/>
      <c r="BK944" s="25"/>
      <c r="BL944" s="25"/>
      <c r="BM944" s="25"/>
      <c r="BN944" s="25"/>
      <c r="BO944" s="25"/>
      <c r="BP944" s="25"/>
      <c r="BQ944" s="25"/>
      <c r="BR944" s="25"/>
      <c r="BS944" s="25"/>
      <c r="BT944" s="25"/>
      <c r="BU944" s="25"/>
      <c r="BV944" s="25"/>
      <c r="BW944" s="25"/>
      <c r="BX944" s="25"/>
      <c r="BY944" s="25"/>
      <c r="BZ944" s="25"/>
      <c r="CA944" s="25"/>
      <c r="CB944" s="25"/>
      <c r="CC944" s="25"/>
      <c r="CD944" s="25"/>
      <c r="CE944" s="25"/>
      <c r="CF944" s="26"/>
      <c r="CG944" s="4"/>
      <c r="CH944" s="37"/>
      <c r="CI944" s="37"/>
    </row>
    <row r="945" spans="1:87" ht="15" customHeight="1" x14ac:dyDescent="0.25">
      <c r="A945" s="31"/>
      <c r="B945" s="31"/>
      <c r="C945" s="31"/>
      <c r="D945" s="4"/>
      <c r="E945" s="24"/>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c r="AT945" s="25"/>
      <c r="AU945" s="25"/>
      <c r="AV945" s="25"/>
      <c r="AW945" s="25"/>
      <c r="AX945" s="25"/>
      <c r="AY945" s="25"/>
      <c r="AZ945" s="25"/>
      <c r="BA945" s="25"/>
      <c r="BB945" s="25"/>
      <c r="BC945" s="25"/>
      <c r="BD945" s="25"/>
      <c r="BE945" s="25"/>
      <c r="BF945" s="25"/>
      <c r="BG945" s="25"/>
      <c r="BH945" s="25"/>
      <c r="BI945" s="25"/>
      <c r="BJ945" s="25"/>
      <c r="BK945" s="25"/>
      <c r="BL945" s="25"/>
      <c r="BM945" s="25"/>
      <c r="BN945" s="25"/>
      <c r="BO945" s="25"/>
      <c r="BP945" s="25"/>
      <c r="BQ945" s="25"/>
      <c r="BR945" s="25"/>
      <c r="BS945" s="25"/>
      <c r="BT945" s="25"/>
      <c r="BU945" s="25"/>
      <c r="BV945" s="25"/>
      <c r="BW945" s="25"/>
      <c r="BX945" s="25"/>
      <c r="BY945" s="25"/>
      <c r="BZ945" s="25"/>
      <c r="CA945" s="25"/>
      <c r="CB945" s="25"/>
      <c r="CC945" s="25"/>
      <c r="CD945" s="25"/>
      <c r="CE945" s="25"/>
      <c r="CF945" s="26"/>
      <c r="CG945" s="4"/>
      <c r="CH945" s="37"/>
      <c r="CI945" s="37"/>
    </row>
    <row r="946" spans="1:87" ht="15" customHeight="1" x14ac:dyDescent="0.25">
      <c r="A946" s="31"/>
      <c r="B946" s="31"/>
      <c r="C946" s="31"/>
      <c r="D946" s="4"/>
      <c r="E946" s="24"/>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c r="AT946" s="25"/>
      <c r="AU946" s="25"/>
      <c r="AV946" s="25"/>
      <c r="AW946" s="25"/>
      <c r="AX946" s="25"/>
      <c r="AY946" s="25"/>
      <c r="AZ946" s="25"/>
      <c r="BA946" s="25"/>
      <c r="BB946" s="25"/>
      <c r="BC946" s="25"/>
      <c r="BD946" s="25"/>
      <c r="BE946" s="25"/>
      <c r="BF946" s="25"/>
      <c r="BG946" s="25"/>
      <c r="BH946" s="25"/>
      <c r="BI946" s="25"/>
      <c r="BJ946" s="25"/>
      <c r="BK946" s="25"/>
      <c r="BL946" s="25"/>
      <c r="BM946" s="25"/>
      <c r="BN946" s="25"/>
      <c r="BO946" s="25"/>
      <c r="BP946" s="25"/>
      <c r="BQ946" s="25"/>
      <c r="BR946" s="25"/>
      <c r="BS946" s="25"/>
      <c r="BT946" s="25"/>
      <c r="BU946" s="25"/>
      <c r="BV946" s="25"/>
      <c r="BW946" s="25"/>
      <c r="BX946" s="25"/>
      <c r="BY946" s="25"/>
      <c r="BZ946" s="25"/>
      <c r="CA946" s="25"/>
      <c r="CB946" s="25"/>
      <c r="CC946" s="25"/>
      <c r="CD946" s="25"/>
      <c r="CE946" s="25"/>
      <c r="CF946" s="26"/>
      <c r="CG946" s="4"/>
      <c r="CH946" s="37"/>
      <c r="CI946" s="37"/>
    </row>
    <row r="947" spans="1:87" ht="15" customHeight="1" x14ac:dyDescent="0.25">
      <c r="A947" s="31"/>
      <c r="B947" s="31"/>
      <c r="C947" s="31"/>
      <c r="D947" s="4"/>
      <c r="E947" s="24"/>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c r="AT947" s="25"/>
      <c r="AU947" s="25"/>
      <c r="AV947" s="25"/>
      <c r="AW947" s="25"/>
      <c r="AX947" s="25"/>
      <c r="AY947" s="25"/>
      <c r="AZ947" s="25"/>
      <c r="BA947" s="25"/>
      <c r="BB947" s="25"/>
      <c r="BC947" s="25"/>
      <c r="BD947" s="25"/>
      <c r="BE947" s="25"/>
      <c r="BF947" s="25"/>
      <c r="BG947" s="25"/>
      <c r="BH947" s="25"/>
      <c r="BI947" s="25"/>
      <c r="BJ947" s="25"/>
      <c r="BK947" s="25"/>
      <c r="BL947" s="25"/>
      <c r="BM947" s="25"/>
      <c r="BN947" s="25"/>
      <c r="BO947" s="25"/>
      <c r="BP947" s="25"/>
      <c r="BQ947" s="25"/>
      <c r="BR947" s="25"/>
      <c r="BS947" s="25"/>
      <c r="BT947" s="25"/>
      <c r="BU947" s="25"/>
      <c r="BV947" s="25"/>
      <c r="BW947" s="25"/>
      <c r="BX947" s="25"/>
      <c r="BY947" s="25"/>
      <c r="BZ947" s="25"/>
      <c r="CA947" s="25"/>
      <c r="CB947" s="25"/>
      <c r="CC947" s="25"/>
      <c r="CD947" s="25"/>
      <c r="CE947" s="25"/>
      <c r="CF947" s="26"/>
      <c r="CG947" s="4"/>
      <c r="CH947" s="37"/>
      <c r="CI947" s="37"/>
    </row>
    <row r="948" spans="1:87" ht="15" customHeight="1" x14ac:dyDescent="0.25">
      <c r="A948" s="31"/>
      <c r="B948" s="31"/>
      <c r="C948" s="31"/>
      <c r="D948" s="4"/>
      <c r="E948" s="24"/>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c r="AT948" s="25"/>
      <c r="AU948" s="25"/>
      <c r="AV948" s="25"/>
      <c r="AW948" s="25"/>
      <c r="AX948" s="25"/>
      <c r="AY948" s="25"/>
      <c r="AZ948" s="25"/>
      <c r="BA948" s="25"/>
      <c r="BB948" s="25"/>
      <c r="BC948" s="25"/>
      <c r="BD948" s="25"/>
      <c r="BE948" s="25"/>
      <c r="BF948" s="25"/>
      <c r="BG948" s="25"/>
      <c r="BH948" s="25"/>
      <c r="BI948" s="25"/>
      <c r="BJ948" s="25"/>
      <c r="BK948" s="25"/>
      <c r="BL948" s="25"/>
      <c r="BM948" s="25"/>
      <c r="BN948" s="25"/>
      <c r="BO948" s="25"/>
      <c r="BP948" s="25"/>
      <c r="BQ948" s="25"/>
      <c r="BR948" s="25"/>
      <c r="BS948" s="25"/>
      <c r="BT948" s="25"/>
      <c r="BU948" s="25"/>
      <c r="BV948" s="25"/>
      <c r="BW948" s="25"/>
      <c r="BX948" s="25"/>
      <c r="BY948" s="25"/>
      <c r="BZ948" s="25"/>
      <c r="CA948" s="25"/>
      <c r="CB948" s="25"/>
      <c r="CC948" s="25"/>
      <c r="CD948" s="25"/>
      <c r="CE948" s="25"/>
      <c r="CF948" s="26"/>
      <c r="CG948" s="4"/>
      <c r="CH948" s="37"/>
      <c r="CI948" s="37"/>
    </row>
    <row r="949" spans="1:87" ht="15" customHeight="1" x14ac:dyDescent="0.25">
      <c r="A949" s="31"/>
      <c r="B949" s="31"/>
      <c r="C949" s="31"/>
      <c r="D949" s="4"/>
      <c r="E949" s="24"/>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c r="AT949" s="25"/>
      <c r="AU949" s="25"/>
      <c r="AV949" s="25"/>
      <c r="AW949" s="25"/>
      <c r="AX949" s="25"/>
      <c r="AY949" s="25"/>
      <c r="AZ949" s="25"/>
      <c r="BA949" s="25"/>
      <c r="BB949" s="25"/>
      <c r="BC949" s="25"/>
      <c r="BD949" s="25"/>
      <c r="BE949" s="25"/>
      <c r="BF949" s="25"/>
      <c r="BG949" s="25"/>
      <c r="BH949" s="25"/>
      <c r="BI949" s="25"/>
      <c r="BJ949" s="25"/>
      <c r="BK949" s="25"/>
      <c r="BL949" s="25"/>
      <c r="BM949" s="25"/>
      <c r="BN949" s="25"/>
      <c r="BO949" s="25"/>
      <c r="BP949" s="25"/>
      <c r="BQ949" s="25"/>
      <c r="BR949" s="25"/>
      <c r="BS949" s="25"/>
      <c r="BT949" s="25"/>
      <c r="BU949" s="25"/>
      <c r="BV949" s="25"/>
      <c r="BW949" s="25"/>
      <c r="BX949" s="25"/>
      <c r="BY949" s="25"/>
      <c r="BZ949" s="25"/>
      <c r="CA949" s="25"/>
      <c r="CB949" s="25"/>
      <c r="CC949" s="25"/>
      <c r="CD949" s="25"/>
      <c r="CE949" s="25"/>
      <c r="CF949" s="26"/>
      <c r="CG949" s="4"/>
      <c r="CH949" s="37"/>
      <c r="CI949" s="37"/>
    </row>
    <row r="950" spans="1:87" ht="15" customHeight="1" x14ac:dyDescent="0.25">
      <c r="A950" s="31"/>
      <c r="B950" s="31"/>
      <c r="C950" s="31"/>
      <c r="D950" s="4"/>
      <c r="E950" s="24"/>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c r="AT950" s="25"/>
      <c r="AU950" s="25"/>
      <c r="AV950" s="25"/>
      <c r="AW950" s="25"/>
      <c r="AX950" s="25"/>
      <c r="AY950" s="25"/>
      <c r="AZ950" s="25"/>
      <c r="BA950" s="25"/>
      <c r="BB950" s="25"/>
      <c r="BC950" s="25"/>
      <c r="BD950" s="25"/>
      <c r="BE950" s="25"/>
      <c r="BF950" s="25"/>
      <c r="BG950" s="25"/>
      <c r="BH950" s="25"/>
      <c r="BI950" s="25"/>
      <c r="BJ950" s="25"/>
      <c r="BK950" s="25"/>
      <c r="BL950" s="25"/>
      <c r="BM950" s="25"/>
      <c r="BN950" s="25"/>
      <c r="BO950" s="25"/>
      <c r="BP950" s="25"/>
      <c r="BQ950" s="25"/>
      <c r="BR950" s="25"/>
      <c r="BS950" s="25"/>
      <c r="BT950" s="25"/>
      <c r="BU950" s="25"/>
      <c r="BV950" s="25"/>
      <c r="BW950" s="25"/>
      <c r="BX950" s="25"/>
      <c r="BY950" s="25"/>
      <c r="BZ950" s="25"/>
      <c r="CA950" s="25"/>
      <c r="CB950" s="25"/>
      <c r="CC950" s="25"/>
      <c r="CD950" s="25"/>
      <c r="CE950" s="25"/>
      <c r="CF950" s="26"/>
      <c r="CG950" s="4"/>
      <c r="CH950" s="37"/>
      <c r="CI950" s="37"/>
    </row>
    <row r="951" spans="1:87" ht="15" customHeight="1" x14ac:dyDescent="0.25">
      <c r="A951" s="31"/>
      <c r="B951" s="31"/>
      <c r="C951" s="31"/>
      <c r="D951" s="4"/>
      <c r="E951" s="24"/>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c r="AT951" s="25"/>
      <c r="AU951" s="25"/>
      <c r="AV951" s="25"/>
      <c r="AW951" s="25"/>
      <c r="AX951" s="25"/>
      <c r="AY951" s="25"/>
      <c r="AZ951" s="25"/>
      <c r="BA951" s="25"/>
      <c r="BB951" s="25"/>
      <c r="BC951" s="25"/>
      <c r="BD951" s="25"/>
      <c r="BE951" s="25"/>
      <c r="BF951" s="25"/>
      <c r="BG951" s="25"/>
      <c r="BH951" s="25"/>
      <c r="BI951" s="25"/>
      <c r="BJ951" s="25"/>
      <c r="BK951" s="25"/>
      <c r="BL951" s="25"/>
      <c r="BM951" s="25"/>
      <c r="BN951" s="25"/>
      <c r="BO951" s="25"/>
      <c r="BP951" s="25"/>
      <c r="BQ951" s="25"/>
      <c r="BR951" s="25"/>
      <c r="BS951" s="25"/>
      <c r="BT951" s="25"/>
      <c r="BU951" s="25"/>
      <c r="BV951" s="25"/>
      <c r="BW951" s="25"/>
      <c r="BX951" s="25"/>
      <c r="BY951" s="25"/>
      <c r="BZ951" s="25"/>
      <c r="CA951" s="25"/>
      <c r="CB951" s="25"/>
      <c r="CC951" s="25"/>
      <c r="CD951" s="25"/>
      <c r="CE951" s="25"/>
      <c r="CF951" s="26"/>
      <c r="CG951" s="4"/>
      <c r="CH951" s="37"/>
      <c r="CI951" s="37"/>
    </row>
    <row r="952" spans="1:87" ht="15" customHeight="1" x14ac:dyDescent="0.25">
      <c r="A952" s="31"/>
      <c r="B952" s="31"/>
      <c r="C952" s="31"/>
      <c r="D952" s="4"/>
      <c r="E952" s="24"/>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c r="AT952" s="25"/>
      <c r="AU952" s="25"/>
      <c r="AV952" s="25"/>
      <c r="AW952" s="25"/>
      <c r="AX952" s="25"/>
      <c r="AY952" s="25"/>
      <c r="AZ952" s="25"/>
      <c r="BA952" s="25"/>
      <c r="BB952" s="25"/>
      <c r="BC952" s="25"/>
      <c r="BD952" s="25"/>
      <c r="BE952" s="25"/>
      <c r="BF952" s="25"/>
      <c r="BG952" s="25"/>
      <c r="BH952" s="25"/>
      <c r="BI952" s="25"/>
      <c r="BJ952" s="25"/>
      <c r="BK952" s="25"/>
      <c r="BL952" s="25"/>
      <c r="BM952" s="25"/>
      <c r="BN952" s="25"/>
      <c r="BO952" s="25"/>
      <c r="BP952" s="25"/>
      <c r="BQ952" s="25"/>
      <c r="BR952" s="25"/>
      <c r="BS952" s="25"/>
      <c r="BT952" s="25"/>
      <c r="BU952" s="25"/>
      <c r="BV952" s="25"/>
      <c r="BW952" s="25"/>
      <c r="BX952" s="25"/>
      <c r="BY952" s="25"/>
      <c r="BZ952" s="25"/>
      <c r="CA952" s="25"/>
      <c r="CB952" s="25"/>
      <c r="CC952" s="25"/>
      <c r="CD952" s="25"/>
      <c r="CE952" s="25"/>
      <c r="CF952" s="26"/>
      <c r="CG952" s="4"/>
      <c r="CH952" s="37"/>
      <c r="CI952" s="37"/>
    </row>
    <row r="953" spans="1:87" ht="15" customHeight="1" x14ac:dyDescent="0.25">
      <c r="A953" s="31"/>
      <c r="B953" s="31"/>
      <c r="C953" s="31"/>
      <c r="D953" s="4"/>
      <c r="E953" s="24"/>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c r="AT953" s="25"/>
      <c r="AU953" s="25"/>
      <c r="AV953" s="25"/>
      <c r="AW953" s="25"/>
      <c r="AX953" s="25"/>
      <c r="AY953" s="25"/>
      <c r="AZ953" s="25"/>
      <c r="BA953" s="25"/>
      <c r="BB953" s="25"/>
      <c r="BC953" s="25"/>
      <c r="BD953" s="25"/>
      <c r="BE953" s="25"/>
      <c r="BF953" s="25"/>
      <c r="BG953" s="25"/>
      <c r="BH953" s="25"/>
      <c r="BI953" s="25"/>
      <c r="BJ953" s="25"/>
      <c r="BK953" s="25"/>
      <c r="BL953" s="25"/>
      <c r="BM953" s="25"/>
      <c r="BN953" s="25"/>
      <c r="BO953" s="25"/>
      <c r="BP953" s="25"/>
      <c r="BQ953" s="25"/>
      <c r="BR953" s="25"/>
      <c r="BS953" s="25"/>
      <c r="BT953" s="25"/>
      <c r="BU953" s="25"/>
      <c r="BV953" s="25"/>
      <c r="BW953" s="25"/>
      <c r="BX953" s="25"/>
      <c r="BY953" s="25"/>
      <c r="BZ953" s="25"/>
      <c r="CA953" s="25"/>
      <c r="CB953" s="25"/>
      <c r="CC953" s="25"/>
      <c r="CD953" s="25"/>
      <c r="CE953" s="25"/>
      <c r="CF953" s="26"/>
      <c r="CG953" s="4"/>
      <c r="CH953" s="37"/>
      <c r="CI953" s="37"/>
    </row>
    <row r="954" spans="1:87" ht="15" customHeight="1" x14ac:dyDescent="0.25">
      <c r="A954" s="31"/>
      <c r="B954" s="31"/>
      <c r="C954" s="31"/>
      <c r="D954" s="4"/>
      <c r="E954" s="24"/>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c r="AT954" s="25"/>
      <c r="AU954" s="25"/>
      <c r="AV954" s="25"/>
      <c r="AW954" s="25"/>
      <c r="AX954" s="25"/>
      <c r="AY954" s="25"/>
      <c r="AZ954" s="25"/>
      <c r="BA954" s="25"/>
      <c r="BB954" s="25"/>
      <c r="BC954" s="25"/>
      <c r="BD954" s="25"/>
      <c r="BE954" s="25"/>
      <c r="BF954" s="25"/>
      <c r="BG954" s="25"/>
      <c r="BH954" s="25"/>
      <c r="BI954" s="25"/>
      <c r="BJ954" s="25"/>
      <c r="BK954" s="25"/>
      <c r="BL954" s="25"/>
      <c r="BM954" s="25"/>
      <c r="BN954" s="25"/>
      <c r="BO954" s="25"/>
      <c r="BP954" s="25"/>
      <c r="BQ954" s="25"/>
      <c r="BR954" s="25"/>
      <c r="BS954" s="25"/>
      <c r="BT954" s="25"/>
      <c r="BU954" s="25"/>
      <c r="BV954" s="25"/>
      <c r="BW954" s="25"/>
      <c r="BX954" s="25"/>
      <c r="BY954" s="25"/>
      <c r="BZ954" s="25"/>
      <c r="CA954" s="25"/>
      <c r="CB954" s="25"/>
      <c r="CC954" s="25"/>
      <c r="CD954" s="25"/>
      <c r="CE954" s="25"/>
      <c r="CF954" s="26"/>
      <c r="CG954" s="4"/>
      <c r="CH954" s="37"/>
      <c r="CI954" s="37"/>
    </row>
    <row r="955" spans="1:87" ht="15" customHeight="1" x14ac:dyDescent="0.25">
      <c r="A955" s="31"/>
      <c r="B955" s="31"/>
      <c r="C955" s="31"/>
      <c r="D955" s="4"/>
      <c r="E955" s="24"/>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c r="AT955" s="25"/>
      <c r="AU955" s="25"/>
      <c r="AV955" s="25"/>
      <c r="AW955" s="25"/>
      <c r="AX955" s="25"/>
      <c r="AY955" s="25"/>
      <c r="AZ955" s="25"/>
      <c r="BA955" s="25"/>
      <c r="BB955" s="25"/>
      <c r="BC955" s="25"/>
      <c r="BD955" s="25"/>
      <c r="BE955" s="25"/>
      <c r="BF955" s="25"/>
      <c r="BG955" s="25"/>
      <c r="BH955" s="25"/>
      <c r="BI955" s="25"/>
      <c r="BJ955" s="25"/>
      <c r="BK955" s="25"/>
      <c r="BL955" s="25"/>
      <c r="BM955" s="25"/>
      <c r="BN955" s="25"/>
      <c r="BO955" s="25"/>
      <c r="BP955" s="25"/>
      <c r="BQ955" s="25"/>
      <c r="BR955" s="25"/>
      <c r="BS955" s="25"/>
      <c r="BT955" s="25"/>
      <c r="BU955" s="25"/>
      <c r="BV955" s="25"/>
      <c r="BW955" s="25"/>
      <c r="BX955" s="25"/>
      <c r="BY955" s="25"/>
      <c r="BZ955" s="25"/>
      <c r="CA955" s="25"/>
      <c r="CB955" s="25"/>
      <c r="CC955" s="25"/>
      <c r="CD955" s="25"/>
      <c r="CE955" s="25"/>
      <c r="CF955" s="26"/>
      <c r="CG955" s="4"/>
      <c r="CH955" s="37"/>
      <c r="CI955" s="37"/>
    </row>
    <row r="956" spans="1:87" ht="15" customHeight="1" x14ac:dyDescent="0.25">
      <c r="A956" s="31"/>
      <c r="B956" s="31"/>
      <c r="C956" s="31"/>
      <c r="D956" s="4"/>
      <c r="E956" s="24"/>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c r="AT956" s="25"/>
      <c r="AU956" s="25"/>
      <c r="AV956" s="25"/>
      <c r="AW956" s="25"/>
      <c r="AX956" s="25"/>
      <c r="AY956" s="25"/>
      <c r="AZ956" s="25"/>
      <c r="BA956" s="25"/>
      <c r="BB956" s="25"/>
      <c r="BC956" s="25"/>
      <c r="BD956" s="25"/>
      <c r="BE956" s="25"/>
      <c r="BF956" s="25"/>
      <c r="BG956" s="25"/>
      <c r="BH956" s="25"/>
      <c r="BI956" s="25"/>
      <c r="BJ956" s="25"/>
      <c r="BK956" s="25"/>
      <c r="BL956" s="25"/>
      <c r="BM956" s="25"/>
      <c r="BN956" s="25"/>
      <c r="BO956" s="25"/>
      <c r="BP956" s="25"/>
      <c r="BQ956" s="25"/>
      <c r="BR956" s="25"/>
      <c r="BS956" s="25"/>
      <c r="BT956" s="25"/>
      <c r="BU956" s="25"/>
      <c r="BV956" s="25"/>
      <c r="BW956" s="25"/>
      <c r="BX956" s="25"/>
      <c r="BY956" s="25"/>
      <c r="BZ956" s="25"/>
      <c r="CA956" s="25"/>
      <c r="CB956" s="25"/>
      <c r="CC956" s="25"/>
      <c r="CD956" s="25"/>
      <c r="CE956" s="25"/>
      <c r="CF956" s="26"/>
      <c r="CG956" s="4"/>
      <c r="CH956" s="37"/>
      <c r="CI956" s="37"/>
    </row>
    <row r="957" spans="1:87" ht="15" customHeight="1" x14ac:dyDescent="0.25">
      <c r="A957" s="31"/>
      <c r="B957" s="31"/>
      <c r="C957" s="31"/>
      <c r="D957" s="4"/>
      <c r="E957" s="24"/>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c r="AT957" s="25"/>
      <c r="AU957" s="25"/>
      <c r="AV957" s="25"/>
      <c r="AW957" s="25"/>
      <c r="AX957" s="25"/>
      <c r="AY957" s="25"/>
      <c r="AZ957" s="25"/>
      <c r="BA957" s="25"/>
      <c r="BB957" s="25"/>
      <c r="BC957" s="25"/>
      <c r="BD957" s="25"/>
      <c r="BE957" s="25"/>
      <c r="BF957" s="25"/>
      <c r="BG957" s="25"/>
      <c r="BH957" s="25"/>
      <c r="BI957" s="25"/>
      <c r="BJ957" s="25"/>
      <c r="BK957" s="25"/>
      <c r="BL957" s="25"/>
      <c r="BM957" s="25"/>
      <c r="BN957" s="25"/>
      <c r="BO957" s="25"/>
      <c r="BP957" s="25"/>
      <c r="BQ957" s="25"/>
      <c r="BR957" s="25"/>
      <c r="BS957" s="25"/>
      <c r="BT957" s="25"/>
      <c r="BU957" s="25"/>
      <c r="BV957" s="25"/>
      <c r="BW957" s="25"/>
      <c r="BX957" s="25"/>
      <c r="BY957" s="25"/>
      <c r="BZ957" s="25"/>
      <c r="CA957" s="25"/>
      <c r="CB957" s="25"/>
      <c r="CC957" s="25"/>
      <c r="CD957" s="25"/>
      <c r="CE957" s="25"/>
      <c r="CF957" s="26"/>
      <c r="CG957" s="4"/>
      <c r="CH957" s="37"/>
      <c r="CI957" s="37"/>
    </row>
    <row r="958" spans="1:87" ht="15" customHeight="1" x14ac:dyDescent="0.25">
      <c r="A958" s="31"/>
      <c r="B958" s="31"/>
      <c r="C958" s="31"/>
      <c r="D958" s="4"/>
      <c r="E958" s="24"/>
      <c r="F958" s="25"/>
      <c r="G958" s="25"/>
      <c r="H958" s="25"/>
      <c r="I958" s="25"/>
      <c r="J958" s="25"/>
      <c r="K958" s="25"/>
      <c r="L958" s="25"/>
      <c r="M958" s="25"/>
      <c r="N958" s="25"/>
      <c r="O958" s="25"/>
      <c r="P958" s="25"/>
      <c r="Q958" s="25"/>
      <c r="R958" s="25"/>
      <c r="S958" s="25"/>
      <c r="T958" s="25"/>
      <c r="U958" s="25"/>
      <c r="V958" s="25"/>
      <c r="W958" s="25"/>
      <c r="X958" s="25"/>
      <c r="Y958" s="25"/>
      <c r="Z958" s="25"/>
      <c r="AA958" s="25"/>
      <c r="AB958" s="25"/>
      <c r="AC958" s="25"/>
      <c r="AD958" s="25"/>
      <c r="AE958" s="25"/>
      <c r="AF958" s="25"/>
      <c r="AG958" s="25"/>
      <c r="AH958" s="25"/>
      <c r="AI958" s="25"/>
      <c r="AJ958" s="25"/>
      <c r="AK958" s="25"/>
      <c r="AL958" s="25"/>
      <c r="AM958" s="25"/>
      <c r="AN958" s="25"/>
      <c r="AO958" s="25"/>
      <c r="AP958" s="25"/>
      <c r="AQ958" s="25"/>
      <c r="AR958" s="25"/>
      <c r="AS958" s="25"/>
      <c r="AT958" s="25"/>
      <c r="AU958" s="25"/>
      <c r="AV958" s="25"/>
      <c r="AW958" s="25"/>
      <c r="AX958" s="25"/>
      <c r="AY958" s="25"/>
      <c r="AZ958" s="25"/>
      <c r="BA958" s="25"/>
      <c r="BB958" s="25"/>
      <c r="BC958" s="25"/>
      <c r="BD958" s="25"/>
      <c r="BE958" s="25"/>
      <c r="BF958" s="25"/>
      <c r="BG958" s="25"/>
      <c r="BH958" s="25"/>
      <c r="BI958" s="25"/>
      <c r="BJ958" s="25"/>
      <c r="BK958" s="25"/>
      <c r="BL958" s="25"/>
      <c r="BM958" s="25"/>
      <c r="BN958" s="25"/>
      <c r="BO958" s="25"/>
      <c r="BP958" s="25"/>
      <c r="BQ958" s="25"/>
      <c r="BR958" s="25"/>
      <c r="BS958" s="25"/>
      <c r="BT958" s="25"/>
      <c r="BU958" s="25"/>
      <c r="BV958" s="25"/>
      <c r="BW958" s="25"/>
      <c r="BX958" s="25"/>
      <c r="BY958" s="25"/>
      <c r="BZ958" s="25"/>
      <c r="CA958" s="25"/>
      <c r="CB958" s="25"/>
      <c r="CC958" s="25"/>
      <c r="CD958" s="25"/>
      <c r="CE958" s="25"/>
      <c r="CF958" s="26"/>
      <c r="CG958" s="4"/>
      <c r="CH958" s="37"/>
      <c r="CI958" s="37"/>
    </row>
    <row r="959" spans="1:87" ht="15" customHeight="1" x14ac:dyDescent="0.25">
      <c r="A959" s="31"/>
      <c r="B959" s="31"/>
      <c r="C959" s="31"/>
      <c r="D959" s="4"/>
      <c r="E959" s="24"/>
      <c r="F959" s="25"/>
      <c r="G959" s="25"/>
      <c r="H959" s="25"/>
      <c r="I959" s="25"/>
      <c r="J959" s="25"/>
      <c r="K959" s="25"/>
      <c r="L959" s="25"/>
      <c r="M959" s="25"/>
      <c r="N959" s="25"/>
      <c r="O959" s="25"/>
      <c r="P959" s="25"/>
      <c r="Q959" s="25"/>
      <c r="R959" s="25"/>
      <c r="S959" s="25"/>
      <c r="T959" s="25"/>
      <c r="U959" s="25"/>
      <c r="V959" s="25"/>
      <c r="W959" s="25"/>
      <c r="X959" s="25"/>
      <c r="Y959" s="25"/>
      <c r="Z959" s="25"/>
      <c r="AA959" s="25"/>
      <c r="AB959" s="25"/>
      <c r="AC959" s="25"/>
      <c r="AD959" s="25"/>
      <c r="AE959" s="25"/>
      <c r="AF959" s="25"/>
      <c r="AG959" s="25"/>
      <c r="AH959" s="25"/>
      <c r="AI959" s="25"/>
      <c r="AJ959" s="25"/>
      <c r="AK959" s="25"/>
      <c r="AL959" s="25"/>
      <c r="AM959" s="25"/>
      <c r="AN959" s="25"/>
      <c r="AO959" s="25"/>
      <c r="AP959" s="25"/>
      <c r="AQ959" s="25"/>
      <c r="AR959" s="25"/>
      <c r="AS959" s="25"/>
      <c r="AT959" s="25"/>
      <c r="AU959" s="25"/>
      <c r="AV959" s="25"/>
      <c r="AW959" s="25"/>
      <c r="AX959" s="25"/>
      <c r="AY959" s="25"/>
      <c r="AZ959" s="25"/>
      <c r="BA959" s="25"/>
      <c r="BB959" s="25"/>
      <c r="BC959" s="25"/>
      <c r="BD959" s="25"/>
      <c r="BE959" s="25"/>
      <c r="BF959" s="25"/>
      <c r="BG959" s="25"/>
      <c r="BH959" s="25"/>
      <c r="BI959" s="25"/>
      <c r="BJ959" s="25"/>
      <c r="BK959" s="25"/>
      <c r="BL959" s="25"/>
      <c r="BM959" s="25"/>
      <c r="BN959" s="25"/>
      <c r="BO959" s="25"/>
      <c r="BP959" s="25"/>
      <c r="BQ959" s="25"/>
      <c r="BR959" s="25"/>
      <c r="BS959" s="25"/>
      <c r="BT959" s="25"/>
      <c r="BU959" s="25"/>
      <c r="BV959" s="25"/>
      <c r="BW959" s="25"/>
      <c r="BX959" s="25"/>
      <c r="BY959" s="25"/>
      <c r="BZ959" s="25"/>
      <c r="CA959" s="25"/>
      <c r="CB959" s="25"/>
      <c r="CC959" s="25"/>
      <c r="CD959" s="25"/>
      <c r="CE959" s="25"/>
      <c r="CF959" s="26"/>
      <c r="CG959" s="4"/>
      <c r="CH959" s="37"/>
      <c r="CI959" s="37"/>
    </row>
    <row r="960" spans="1:87" ht="15" customHeight="1" x14ac:dyDescent="0.25">
      <c r="A960" s="31"/>
      <c r="B960" s="31"/>
      <c r="C960" s="31"/>
      <c r="D960" s="4"/>
      <c r="E960" s="24"/>
      <c r="F960" s="25"/>
      <c r="G960" s="25"/>
      <c r="H960" s="25"/>
      <c r="I960" s="25"/>
      <c r="J960" s="25"/>
      <c r="K960" s="25"/>
      <c r="L960" s="25"/>
      <c r="M960" s="25"/>
      <c r="N960" s="25"/>
      <c r="O960" s="25"/>
      <c r="P960" s="25"/>
      <c r="Q960" s="25"/>
      <c r="R960" s="25"/>
      <c r="S960" s="25"/>
      <c r="T960" s="25"/>
      <c r="U960" s="25"/>
      <c r="V960" s="25"/>
      <c r="W960" s="25"/>
      <c r="X960" s="25"/>
      <c r="Y960" s="25"/>
      <c r="Z960" s="25"/>
      <c r="AA960" s="25"/>
      <c r="AB960" s="25"/>
      <c r="AC960" s="25"/>
      <c r="AD960" s="25"/>
      <c r="AE960" s="25"/>
      <c r="AF960" s="25"/>
      <c r="AG960" s="25"/>
      <c r="AH960" s="25"/>
      <c r="AI960" s="25"/>
      <c r="AJ960" s="25"/>
      <c r="AK960" s="25"/>
      <c r="AL960" s="25"/>
      <c r="AM960" s="25"/>
      <c r="AN960" s="25"/>
      <c r="AO960" s="25"/>
      <c r="AP960" s="25"/>
      <c r="AQ960" s="25"/>
      <c r="AR960" s="25"/>
      <c r="AS960" s="25"/>
      <c r="AT960" s="25"/>
      <c r="AU960" s="25"/>
      <c r="AV960" s="25"/>
      <c r="AW960" s="25"/>
      <c r="AX960" s="25"/>
      <c r="AY960" s="25"/>
      <c r="AZ960" s="25"/>
      <c r="BA960" s="25"/>
      <c r="BB960" s="25"/>
      <c r="BC960" s="25"/>
      <c r="BD960" s="25"/>
      <c r="BE960" s="25"/>
      <c r="BF960" s="25"/>
      <c r="BG960" s="25"/>
      <c r="BH960" s="25"/>
      <c r="BI960" s="25"/>
      <c r="BJ960" s="25"/>
      <c r="BK960" s="25"/>
      <c r="BL960" s="25"/>
      <c r="BM960" s="25"/>
      <c r="BN960" s="25"/>
      <c r="BO960" s="25"/>
      <c r="BP960" s="25"/>
      <c r="BQ960" s="25"/>
      <c r="BR960" s="25"/>
      <c r="BS960" s="25"/>
      <c r="BT960" s="25"/>
      <c r="BU960" s="25"/>
      <c r="BV960" s="25"/>
      <c r="BW960" s="25"/>
      <c r="BX960" s="25"/>
      <c r="BY960" s="25"/>
      <c r="BZ960" s="25"/>
      <c r="CA960" s="25"/>
      <c r="CB960" s="25"/>
      <c r="CC960" s="25"/>
      <c r="CD960" s="25"/>
      <c r="CE960" s="25"/>
      <c r="CF960" s="26"/>
      <c r="CG960" s="4"/>
      <c r="CH960" s="37"/>
      <c r="CI960" s="37"/>
    </row>
    <row r="961" spans="1:87" ht="15" customHeight="1" x14ac:dyDescent="0.25">
      <c r="A961" s="31"/>
      <c r="B961" s="31"/>
      <c r="C961" s="31"/>
      <c r="D961" s="4"/>
      <c r="E961" s="24"/>
      <c r="F961" s="25"/>
      <c r="G961" s="25"/>
      <c r="H961" s="25"/>
      <c r="I961" s="25"/>
      <c r="J961" s="25"/>
      <c r="K961" s="25"/>
      <c r="L961" s="25"/>
      <c r="M961" s="25"/>
      <c r="N961" s="25"/>
      <c r="O961" s="25"/>
      <c r="P961" s="25"/>
      <c r="Q961" s="25"/>
      <c r="R961" s="25"/>
      <c r="S961" s="25"/>
      <c r="T961" s="25"/>
      <c r="U961" s="25"/>
      <c r="V961" s="25"/>
      <c r="W961" s="25"/>
      <c r="X961" s="25"/>
      <c r="Y961" s="25"/>
      <c r="Z961" s="25"/>
      <c r="AA961" s="25"/>
      <c r="AB961" s="25"/>
      <c r="AC961" s="25"/>
      <c r="AD961" s="25"/>
      <c r="AE961" s="25"/>
      <c r="AF961" s="25"/>
      <c r="AG961" s="25"/>
      <c r="AH961" s="25"/>
      <c r="AI961" s="25"/>
      <c r="AJ961" s="25"/>
      <c r="AK961" s="25"/>
      <c r="AL961" s="25"/>
      <c r="AM961" s="25"/>
      <c r="AN961" s="25"/>
      <c r="AO961" s="25"/>
      <c r="AP961" s="25"/>
      <c r="AQ961" s="25"/>
      <c r="AR961" s="25"/>
      <c r="AS961" s="25"/>
      <c r="AT961" s="25"/>
      <c r="AU961" s="25"/>
      <c r="AV961" s="25"/>
      <c r="AW961" s="25"/>
      <c r="AX961" s="25"/>
      <c r="AY961" s="25"/>
      <c r="AZ961" s="25"/>
      <c r="BA961" s="25"/>
      <c r="BB961" s="25"/>
      <c r="BC961" s="25"/>
      <c r="BD961" s="25"/>
      <c r="BE961" s="25"/>
      <c r="BF961" s="25"/>
      <c r="BG961" s="25"/>
      <c r="BH961" s="25"/>
      <c r="BI961" s="25"/>
      <c r="BJ961" s="25"/>
      <c r="BK961" s="25"/>
      <c r="BL961" s="25"/>
      <c r="BM961" s="25"/>
      <c r="BN961" s="25"/>
      <c r="BO961" s="25"/>
      <c r="BP961" s="25"/>
      <c r="BQ961" s="25"/>
      <c r="BR961" s="25"/>
      <c r="BS961" s="25"/>
      <c r="BT961" s="25"/>
      <c r="BU961" s="25"/>
      <c r="BV961" s="25"/>
      <c r="BW961" s="25"/>
      <c r="BX961" s="25"/>
      <c r="BY961" s="25"/>
      <c r="BZ961" s="25"/>
      <c r="CA961" s="25"/>
      <c r="CB961" s="25"/>
      <c r="CC961" s="25"/>
      <c r="CD961" s="25"/>
      <c r="CE961" s="25"/>
      <c r="CF961" s="26"/>
      <c r="CG961" s="4"/>
      <c r="CH961" s="37"/>
      <c r="CI961" s="37"/>
    </row>
    <row r="962" spans="1:87" ht="15" customHeight="1" x14ac:dyDescent="0.25">
      <c r="A962" s="31"/>
      <c r="B962" s="31"/>
      <c r="C962" s="31"/>
      <c r="D962" s="4"/>
      <c r="E962" s="24"/>
      <c r="F962" s="25"/>
      <c r="G962" s="25"/>
      <c r="H962" s="25"/>
      <c r="I962" s="25"/>
      <c r="J962" s="25"/>
      <c r="K962" s="25"/>
      <c r="L962" s="25"/>
      <c r="M962" s="25"/>
      <c r="N962" s="25"/>
      <c r="O962" s="25"/>
      <c r="P962" s="25"/>
      <c r="Q962" s="25"/>
      <c r="R962" s="25"/>
      <c r="S962" s="25"/>
      <c r="T962" s="25"/>
      <c r="U962" s="25"/>
      <c r="V962" s="25"/>
      <c r="W962" s="25"/>
      <c r="X962" s="25"/>
      <c r="Y962" s="25"/>
      <c r="Z962" s="25"/>
      <c r="AA962" s="25"/>
      <c r="AB962" s="25"/>
      <c r="AC962" s="25"/>
      <c r="AD962" s="25"/>
      <c r="AE962" s="25"/>
      <c r="AF962" s="25"/>
      <c r="AG962" s="25"/>
      <c r="AH962" s="25"/>
      <c r="AI962" s="25"/>
      <c r="AJ962" s="25"/>
      <c r="AK962" s="25"/>
      <c r="AL962" s="25"/>
      <c r="AM962" s="25"/>
      <c r="AN962" s="25"/>
      <c r="AO962" s="25"/>
      <c r="AP962" s="25"/>
      <c r="AQ962" s="25"/>
      <c r="AR962" s="25"/>
      <c r="AS962" s="25"/>
      <c r="AT962" s="25"/>
      <c r="AU962" s="25"/>
      <c r="AV962" s="25"/>
      <c r="AW962" s="25"/>
      <c r="AX962" s="25"/>
      <c r="AY962" s="25"/>
      <c r="AZ962" s="25"/>
      <c r="BA962" s="25"/>
      <c r="BB962" s="25"/>
      <c r="BC962" s="25"/>
      <c r="BD962" s="25"/>
      <c r="BE962" s="25"/>
      <c r="BF962" s="25"/>
      <c r="BG962" s="25"/>
      <c r="BH962" s="25"/>
      <c r="BI962" s="25"/>
      <c r="BJ962" s="25"/>
      <c r="BK962" s="25"/>
      <c r="BL962" s="25"/>
      <c r="BM962" s="25"/>
      <c r="BN962" s="25"/>
      <c r="BO962" s="25"/>
      <c r="BP962" s="25"/>
      <c r="BQ962" s="25"/>
      <c r="BR962" s="25"/>
      <c r="BS962" s="25"/>
      <c r="BT962" s="25"/>
      <c r="BU962" s="25"/>
      <c r="BV962" s="25"/>
      <c r="BW962" s="25"/>
      <c r="BX962" s="25"/>
      <c r="BY962" s="25"/>
      <c r="BZ962" s="25"/>
      <c r="CA962" s="25"/>
      <c r="CB962" s="25"/>
      <c r="CC962" s="25"/>
      <c r="CD962" s="25"/>
      <c r="CE962" s="25"/>
      <c r="CF962" s="26"/>
      <c r="CG962" s="4"/>
      <c r="CH962" s="37"/>
      <c r="CI962" s="37"/>
    </row>
    <row r="963" spans="1:87" ht="15" customHeight="1" x14ac:dyDescent="0.25">
      <c r="A963" s="31"/>
      <c r="B963" s="31"/>
      <c r="C963" s="31"/>
      <c r="D963" s="4"/>
      <c r="E963" s="24"/>
      <c r="F963" s="25"/>
      <c r="G963" s="25"/>
      <c r="H963" s="25"/>
      <c r="I963" s="25"/>
      <c r="J963" s="25"/>
      <c r="K963" s="25"/>
      <c r="L963" s="25"/>
      <c r="M963" s="25"/>
      <c r="N963" s="25"/>
      <c r="O963" s="25"/>
      <c r="P963" s="25"/>
      <c r="Q963" s="25"/>
      <c r="R963" s="25"/>
      <c r="S963" s="25"/>
      <c r="T963" s="25"/>
      <c r="U963" s="25"/>
      <c r="V963" s="25"/>
      <c r="W963" s="25"/>
      <c r="X963" s="25"/>
      <c r="Y963" s="25"/>
      <c r="Z963" s="25"/>
      <c r="AA963" s="25"/>
      <c r="AB963" s="25"/>
      <c r="AC963" s="25"/>
      <c r="AD963" s="25"/>
      <c r="AE963" s="25"/>
      <c r="AF963" s="25"/>
      <c r="AG963" s="25"/>
      <c r="AH963" s="25"/>
      <c r="AI963" s="25"/>
      <c r="AJ963" s="25"/>
      <c r="AK963" s="25"/>
      <c r="AL963" s="25"/>
      <c r="AM963" s="25"/>
      <c r="AN963" s="25"/>
      <c r="AO963" s="25"/>
      <c r="AP963" s="25"/>
      <c r="AQ963" s="25"/>
      <c r="AR963" s="25"/>
      <c r="AS963" s="25"/>
      <c r="AT963" s="25"/>
      <c r="AU963" s="25"/>
      <c r="AV963" s="25"/>
      <c r="AW963" s="25"/>
      <c r="AX963" s="25"/>
      <c r="AY963" s="25"/>
      <c r="AZ963" s="25"/>
      <c r="BA963" s="25"/>
      <c r="BB963" s="25"/>
      <c r="BC963" s="25"/>
      <c r="BD963" s="25"/>
      <c r="BE963" s="25"/>
      <c r="BF963" s="25"/>
      <c r="BG963" s="25"/>
      <c r="BH963" s="25"/>
      <c r="BI963" s="25"/>
      <c r="BJ963" s="25"/>
      <c r="BK963" s="25"/>
      <c r="BL963" s="25"/>
      <c r="BM963" s="25"/>
      <c r="BN963" s="25"/>
      <c r="BO963" s="25"/>
      <c r="BP963" s="25"/>
      <c r="BQ963" s="25"/>
      <c r="BR963" s="25"/>
      <c r="BS963" s="25"/>
      <c r="BT963" s="25"/>
      <c r="BU963" s="25"/>
      <c r="BV963" s="25"/>
      <c r="BW963" s="25"/>
      <c r="BX963" s="25"/>
      <c r="BY963" s="25"/>
      <c r="BZ963" s="25"/>
      <c r="CA963" s="25"/>
      <c r="CB963" s="25"/>
      <c r="CC963" s="25"/>
      <c r="CD963" s="25"/>
      <c r="CE963" s="25"/>
      <c r="CF963" s="26"/>
      <c r="CG963" s="4"/>
      <c r="CH963" s="37"/>
      <c r="CI963" s="37"/>
    </row>
    <row r="964" spans="1:87" ht="15" customHeight="1" x14ac:dyDescent="0.25">
      <c r="A964" s="31"/>
      <c r="B964" s="31"/>
      <c r="C964" s="31"/>
      <c r="D964" s="4"/>
      <c r="E964" s="24"/>
      <c r="F964" s="25"/>
      <c r="G964" s="25"/>
      <c r="H964" s="25"/>
      <c r="I964" s="25"/>
      <c r="J964" s="25"/>
      <c r="K964" s="25"/>
      <c r="L964" s="25"/>
      <c r="M964" s="25"/>
      <c r="N964" s="25"/>
      <c r="O964" s="25"/>
      <c r="P964" s="25"/>
      <c r="Q964" s="25"/>
      <c r="R964" s="25"/>
      <c r="S964" s="25"/>
      <c r="T964" s="25"/>
      <c r="U964" s="25"/>
      <c r="V964" s="25"/>
      <c r="W964" s="25"/>
      <c r="X964" s="25"/>
      <c r="Y964" s="25"/>
      <c r="Z964" s="25"/>
      <c r="AA964" s="25"/>
      <c r="AB964" s="25"/>
      <c r="AC964" s="25"/>
      <c r="AD964" s="25"/>
      <c r="AE964" s="25"/>
      <c r="AF964" s="25"/>
      <c r="AG964" s="25"/>
      <c r="AH964" s="25"/>
      <c r="AI964" s="25"/>
      <c r="AJ964" s="25"/>
      <c r="AK964" s="25"/>
      <c r="AL964" s="25"/>
      <c r="AM964" s="25"/>
      <c r="AN964" s="25"/>
      <c r="AO964" s="25"/>
      <c r="AP964" s="25"/>
      <c r="AQ964" s="25"/>
      <c r="AR964" s="25"/>
      <c r="AS964" s="25"/>
      <c r="AT964" s="25"/>
      <c r="AU964" s="25"/>
      <c r="AV964" s="25"/>
      <c r="AW964" s="25"/>
      <c r="AX964" s="25"/>
      <c r="AY964" s="25"/>
      <c r="AZ964" s="25"/>
      <c r="BA964" s="25"/>
      <c r="BB964" s="25"/>
      <c r="BC964" s="25"/>
      <c r="BD964" s="25"/>
      <c r="BE964" s="25"/>
      <c r="BF964" s="25"/>
      <c r="BG964" s="25"/>
      <c r="BH964" s="25"/>
      <c r="BI964" s="25"/>
      <c r="BJ964" s="25"/>
      <c r="BK964" s="25"/>
      <c r="BL964" s="25"/>
      <c r="BM964" s="25"/>
      <c r="BN964" s="25"/>
      <c r="BO964" s="25"/>
      <c r="BP964" s="25"/>
      <c r="BQ964" s="25"/>
      <c r="BR964" s="25"/>
      <c r="BS964" s="25"/>
      <c r="BT964" s="25"/>
      <c r="BU964" s="25"/>
      <c r="BV964" s="25"/>
      <c r="BW964" s="25"/>
      <c r="BX964" s="25"/>
      <c r="BY964" s="25"/>
      <c r="BZ964" s="25"/>
      <c r="CA964" s="25"/>
      <c r="CB964" s="25"/>
      <c r="CC964" s="25"/>
      <c r="CD964" s="25"/>
      <c r="CE964" s="25"/>
      <c r="CF964" s="26"/>
      <c r="CG964" s="4"/>
      <c r="CH964" s="37"/>
      <c r="CI964" s="37"/>
    </row>
    <row r="965" spans="1:87" ht="15" customHeight="1" x14ac:dyDescent="0.25">
      <c r="A965" s="31"/>
      <c r="B965" s="31"/>
      <c r="C965" s="31"/>
      <c r="D965" s="4"/>
      <c r="E965" s="24"/>
      <c r="F965" s="25"/>
      <c r="G965" s="25"/>
      <c r="H965" s="25"/>
      <c r="I965" s="25"/>
      <c r="J965" s="25"/>
      <c r="K965" s="25"/>
      <c r="L965" s="25"/>
      <c r="M965" s="25"/>
      <c r="N965" s="25"/>
      <c r="O965" s="25"/>
      <c r="P965" s="25"/>
      <c r="Q965" s="25"/>
      <c r="R965" s="25"/>
      <c r="S965" s="25"/>
      <c r="T965" s="25"/>
      <c r="U965" s="25"/>
      <c r="V965" s="25"/>
      <c r="W965" s="25"/>
      <c r="X965" s="25"/>
      <c r="Y965" s="25"/>
      <c r="Z965" s="25"/>
      <c r="AA965" s="25"/>
      <c r="AB965" s="25"/>
      <c r="AC965" s="25"/>
      <c r="AD965" s="25"/>
      <c r="AE965" s="25"/>
      <c r="AF965" s="25"/>
      <c r="AG965" s="25"/>
      <c r="AH965" s="25"/>
      <c r="AI965" s="25"/>
      <c r="AJ965" s="25"/>
      <c r="AK965" s="25"/>
      <c r="AL965" s="25"/>
      <c r="AM965" s="25"/>
      <c r="AN965" s="25"/>
      <c r="AO965" s="25"/>
      <c r="AP965" s="25"/>
      <c r="AQ965" s="25"/>
      <c r="AR965" s="25"/>
      <c r="AS965" s="25"/>
      <c r="AT965" s="25"/>
      <c r="AU965" s="25"/>
      <c r="AV965" s="25"/>
      <c r="AW965" s="25"/>
      <c r="AX965" s="25"/>
      <c r="AY965" s="25"/>
      <c r="AZ965" s="25"/>
      <c r="BA965" s="25"/>
      <c r="BB965" s="25"/>
      <c r="BC965" s="25"/>
      <c r="BD965" s="25"/>
      <c r="BE965" s="25"/>
      <c r="BF965" s="25"/>
      <c r="BG965" s="25"/>
      <c r="BH965" s="25"/>
      <c r="BI965" s="25"/>
      <c r="BJ965" s="25"/>
      <c r="BK965" s="25"/>
      <c r="BL965" s="25"/>
      <c r="BM965" s="25"/>
      <c r="BN965" s="25"/>
      <c r="BO965" s="25"/>
      <c r="BP965" s="25"/>
      <c r="BQ965" s="25"/>
      <c r="BR965" s="25"/>
      <c r="BS965" s="25"/>
      <c r="BT965" s="25"/>
      <c r="BU965" s="25"/>
      <c r="BV965" s="25"/>
      <c r="BW965" s="25"/>
      <c r="BX965" s="25"/>
      <c r="BY965" s="25"/>
      <c r="BZ965" s="25"/>
      <c r="CA965" s="25"/>
      <c r="CB965" s="25"/>
      <c r="CC965" s="25"/>
      <c r="CD965" s="25"/>
      <c r="CE965" s="25"/>
      <c r="CF965" s="26"/>
      <c r="CG965" s="4"/>
      <c r="CH965" s="37"/>
      <c r="CI965" s="37"/>
    </row>
    <row r="966" spans="1:87" ht="15" customHeight="1" x14ac:dyDescent="0.25">
      <c r="A966" s="31"/>
      <c r="B966" s="31"/>
      <c r="C966" s="31"/>
      <c r="D966" s="4"/>
      <c r="E966" s="24"/>
      <c r="F966" s="25"/>
      <c r="G966" s="25"/>
      <c r="H966" s="25"/>
      <c r="I966" s="25"/>
      <c r="J966" s="25"/>
      <c r="K966" s="25"/>
      <c r="L966" s="25"/>
      <c r="M966" s="25"/>
      <c r="N966" s="25"/>
      <c r="O966" s="25"/>
      <c r="P966" s="25"/>
      <c r="Q966" s="25"/>
      <c r="R966" s="25"/>
      <c r="S966" s="25"/>
      <c r="T966" s="25"/>
      <c r="U966" s="25"/>
      <c r="V966" s="25"/>
      <c r="W966" s="25"/>
      <c r="X966" s="25"/>
      <c r="Y966" s="25"/>
      <c r="Z966" s="25"/>
      <c r="AA966" s="25"/>
      <c r="AB966" s="25"/>
      <c r="AC966" s="25"/>
      <c r="AD966" s="25"/>
      <c r="AE966" s="25"/>
      <c r="AF966" s="25"/>
      <c r="AG966" s="25"/>
      <c r="AH966" s="25"/>
      <c r="AI966" s="25"/>
      <c r="AJ966" s="25"/>
      <c r="AK966" s="25"/>
      <c r="AL966" s="25"/>
      <c r="AM966" s="25"/>
      <c r="AN966" s="25"/>
      <c r="AO966" s="25"/>
      <c r="AP966" s="25"/>
      <c r="AQ966" s="25"/>
      <c r="AR966" s="25"/>
      <c r="AS966" s="25"/>
      <c r="AT966" s="25"/>
      <c r="AU966" s="25"/>
      <c r="AV966" s="25"/>
      <c r="AW966" s="25"/>
      <c r="AX966" s="25"/>
      <c r="AY966" s="25"/>
      <c r="AZ966" s="25"/>
      <c r="BA966" s="25"/>
      <c r="BB966" s="25"/>
      <c r="BC966" s="25"/>
      <c r="BD966" s="25"/>
      <c r="BE966" s="25"/>
      <c r="BF966" s="25"/>
      <c r="BG966" s="25"/>
      <c r="BH966" s="25"/>
      <c r="BI966" s="25"/>
      <c r="BJ966" s="25"/>
      <c r="BK966" s="25"/>
      <c r="BL966" s="25"/>
      <c r="BM966" s="25"/>
      <c r="BN966" s="25"/>
      <c r="BO966" s="25"/>
      <c r="BP966" s="25"/>
      <c r="BQ966" s="25"/>
      <c r="BR966" s="25"/>
      <c r="BS966" s="25"/>
      <c r="BT966" s="25"/>
      <c r="BU966" s="25"/>
      <c r="BV966" s="25"/>
      <c r="BW966" s="25"/>
      <c r="BX966" s="25"/>
      <c r="BY966" s="25"/>
      <c r="BZ966" s="25"/>
      <c r="CA966" s="25"/>
      <c r="CB966" s="25"/>
      <c r="CC966" s="25"/>
      <c r="CD966" s="25"/>
      <c r="CE966" s="25"/>
      <c r="CF966" s="26"/>
      <c r="CG966" s="4"/>
      <c r="CH966" s="37"/>
      <c r="CI966" s="37"/>
    </row>
    <row r="967" spans="1:87" ht="15" customHeight="1" x14ac:dyDescent="0.25">
      <c r="A967" s="31"/>
      <c r="B967" s="31"/>
      <c r="C967" s="31"/>
      <c r="D967" s="4"/>
      <c r="E967" s="24"/>
      <c r="F967" s="25"/>
      <c r="G967" s="25"/>
      <c r="H967" s="25"/>
      <c r="I967" s="25"/>
      <c r="J967" s="25"/>
      <c r="K967" s="25"/>
      <c r="L967" s="25"/>
      <c r="M967" s="25"/>
      <c r="N967" s="25"/>
      <c r="O967" s="25"/>
      <c r="P967" s="25"/>
      <c r="Q967" s="25"/>
      <c r="R967" s="25"/>
      <c r="S967" s="25"/>
      <c r="T967" s="25"/>
      <c r="U967" s="25"/>
      <c r="V967" s="25"/>
      <c r="W967" s="25"/>
      <c r="X967" s="25"/>
      <c r="Y967" s="25"/>
      <c r="Z967" s="25"/>
      <c r="AA967" s="25"/>
      <c r="AB967" s="25"/>
      <c r="AC967" s="25"/>
      <c r="AD967" s="25"/>
      <c r="AE967" s="25"/>
      <c r="AF967" s="25"/>
      <c r="AG967" s="25"/>
      <c r="AH967" s="25"/>
      <c r="AI967" s="25"/>
      <c r="AJ967" s="25"/>
      <c r="AK967" s="25"/>
      <c r="AL967" s="25"/>
      <c r="AM967" s="25"/>
      <c r="AN967" s="25"/>
      <c r="AO967" s="25"/>
      <c r="AP967" s="25"/>
      <c r="AQ967" s="25"/>
      <c r="AR967" s="25"/>
      <c r="AS967" s="25"/>
      <c r="AT967" s="25"/>
      <c r="AU967" s="25"/>
      <c r="AV967" s="25"/>
      <c r="AW967" s="25"/>
      <c r="AX967" s="25"/>
      <c r="AY967" s="25"/>
      <c r="AZ967" s="25"/>
      <c r="BA967" s="25"/>
      <c r="BB967" s="25"/>
      <c r="BC967" s="25"/>
      <c r="BD967" s="25"/>
      <c r="BE967" s="25"/>
      <c r="BF967" s="25"/>
      <c r="BG967" s="25"/>
      <c r="BH967" s="25"/>
      <c r="BI967" s="25"/>
      <c r="BJ967" s="25"/>
      <c r="BK967" s="25"/>
      <c r="BL967" s="25"/>
      <c r="BM967" s="25"/>
      <c r="BN967" s="25"/>
      <c r="BO967" s="25"/>
      <c r="BP967" s="25"/>
      <c r="BQ967" s="25"/>
      <c r="BR967" s="25"/>
      <c r="BS967" s="25"/>
      <c r="BT967" s="25"/>
      <c r="BU967" s="25"/>
      <c r="BV967" s="25"/>
      <c r="BW967" s="25"/>
      <c r="BX967" s="25"/>
      <c r="BY967" s="25"/>
      <c r="BZ967" s="25"/>
      <c r="CA967" s="25"/>
      <c r="CB967" s="25"/>
      <c r="CC967" s="25"/>
      <c r="CD967" s="25"/>
      <c r="CE967" s="25"/>
      <c r="CF967" s="26"/>
      <c r="CG967" s="4"/>
      <c r="CH967" s="37"/>
      <c r="CI967" s="37"/>
    </row>
    <row r="968" spans="1:87" ht="15" customHeight="1" x14ac:dyDescent="0.25">
      <c r="A968" s="31"/>
      <c r="B968" s="31"/>
      <c r="C968" s="31"/>
      <c r="D968" s="4"/>
      <c r="E968" s="24"/>
      <c r="F968" s="25"/>
      <c r="G968" s="25"/>
      <c r="H968" s="25"/>
      <c r="I968" s="25"/>
      <c r="J968" s="25"/>
      <c r="K968" s="25"/>
      <c r="L968" s="25"/>
      <c r="M968" s="25"/>
      <c r="N968" s="25"/>
      <c r="O968" s="25"/>
      <c r="P968" s="25"/>
      <c r="Q968" s="25"/>
      <c r="R968" s="25"/>
      <c r="S968" s="25"/>
      <c r="T968" s="25"/>
      <c r="U968" s="25"/>
      <c r="V968" s="25"/>
      <c r="W968" s="25"/>
      <c r="X968" s="25"/>
      <c r="Y968" s="25"/>
      <c r="Z968" s="25"/>
      <c r="AA968" s="25"/>
      <c r="AB968" s="25"/>
      <c r="AC968" s="25"/>
      <c r="AD968" s="25"/>
      <c r="AE968" s="25"/>
      <c r="AF968" s="25"/>
      <c r="AG968" s="25"/>
      <c r="AH968" s="25"/>
      <c r="AI968" s="25"/>
      <c r="AJ968" s="25"/>
      <c r="AK968" s="25"/>
      <c r="AL968" s="25"/>
      <c r="AM968" s="25"/>
      <c r="AN968" s="25"/>
      <c r="AO968" s="25"/>
      <c r="AP968" s="25"/>
      <c r="AQ968" s="25"/>
      <c r="AR968" s="25"/>
      <c r="AS968" s="25"/>
      <c r="AT968" s="25"/>
      <c r="AU968" s="25"/>
      <c r="AV968" s="25"/>
      <c r="AW968" s="25"/>
      <c r="AX968" s="25"/>
      <c r="AY968" s="25"/>
      <c r="AZ968" s="25"/>
      <c r="BA968" s="25"/>
      <c r="BB968" s="25"/>
      <c r="BC968" s="25"/>
      <c r="BD968" s="25"/>
      <c r="BE968" s="25"/>
      <c r="BF968" s="25"/>
      <c r="BG968" s="25"/>
      <c r="BH968" s="25"/>
      <c r="BI968" s="25"/>
      <c r="BJ968" s="25"/>
      <c r="BK968" s="25"/>
      <c r="BL968" s="25"/>
      <c r="BM968" s="25"/>
      <c r="BN968" s="25"/>
      <c r="BO968" s="25"/>
      <c r="BP968" s="25"/>
      <c r="BQ968" s="25"/>
      <c r="BR968" s="25"/>
      <c r="BS968" s="25"/>
      <c r="BT968" s="25"/>
      <c r="BU968" s="25"/>
      <c r="BV968" s="25"/>
      <c r="BW968" s="25"/>
      <c r="BX968" s="25"/>
      <c r="BY968" s="25"/>
      <c r="BZ968" s="25"/>
      <c r="CA968" s="25"/>
      <c r="CB968" s="25"/>
      <c r="CC968" s="25"/>
      <c r="CD968" s="25"/>
      <c r="CE968" s="25"/>
      <c r="CF968" s="26"/>
      <c r="CG968" s="4"/>
      <c r="CH968" s="37"/>
      <c r="CI968" s="37"/>
    </row>
    <row r="969" spans="1:87" ht="15" customHeight="1" x14ac:dyDescent="0.25">
      <c r="A969" s="31"/>
      <c r="B969" s="31"/>
      <c r="C969" s="31"/>
      <c r="D969" s="4"/>
      <c r="E969" s="24"/>
      <c r="F969" s="25"/>
      <c r="G969" s="25"/>
      <c r="H969" s="25"/>
      <c r="I969" s="25"/>
      <c r="J969" s="25"/>
      <c r="K969" s="25"/>
      <c r="L969" s="25"/>
      <c r="M969" s="25"/>
      <c r="N969" s="25"/>
      <c r="O969" s="25"/>
      <c r="P969" s="25"/>
      <c r="Q969" s="25"/>
      <c r="R969" s="25"/>
      <c r="S969" s="25"/>
      <c r="T969" s="25"/>
      <c r="U969" s="25"/>
      <c r="V969" s="25"/>
      <c r="W969" s="25"/>
      <c r="X969" s="25"/>
      <c r="Y969" s="25"/>
      <c r="Z969" s="25"/>
      <c r="AA969" s="25"/>
      <c r="AB969" s="25"/>
      <c r="AC969" s="25"/>
      <c r="AD969" s="25"/>
      <c r="AE969" s="25"/>
      <c r="AF969" s="25"/>
      <c r="AG969" s="25"/>
      <c r="AH969" s="25"/>
      <c r="AI969" s="25"/>
      <c r="AJ969" s="25"/>
      <c r="AK969" s="25"/>
      <c r="AL969" s="25"/>
      <c r="AM969" s="25"/>
      <c r="AN969" s="25"/>
      <c r="AO969" s="25"/>
      <c r="AP969" s="25"/>
      <c r="AQ969" s="25"/>
      <c r="AR969" s="25"/>
      <c r="AS969" s="25"/>
      <c r="AT969" s="25"/>
      <c r="AU969" s="25"/>
      <c r="AV969" s="25"/>
      <c r="AW969" s="25"/>
      <c r="AX969" s="25"/>
      <c r="AY969" s="25"/>
      <c r="AZ969" s="25"/>
      <c r="BA969" s="25"/>
      <c r="BB969" s="25"/>
      <c r="BC969" s="25"/>
      <c r="BD969" s="25"/>
      <c r="BE969" s="25"/>
      <c r="BF969" s="25"/>
      <c r="BG969" s="25"/>
      <c r="BH969" s="25"/>
      <c r="BI969" s="25"/>
      <c r="BJ969" s="25"/>
      <c r="BK969" s="25"/>
      <c r="BL969" s="25"/>
      <c r="BM969" s="25"/>
      <c r="BN969" s="25"/>
      <c r="BO969" s="25"/>
      <c r="BP969" s="25"/>
      <c r="BQ969" s="25"/>
      <c r="BR969" s="25"/>
      <c r="BS969" s="25"/>
      <c r="BT969" s="25"/>
      <c r="BU969" s="25"/>
      <c r="BV969" s="25"/>
      <c r="BW969" s="25"/>
      <c r="BX969" s="25"/>
      <c r="BY969" s="25"/>
      <c r="BZ969" s="25"/>
      <c r="CA969" s="25"/>
      <c r="CB969" s="25"/>
      <c r="CC969" s="25"/>
      <c r="CD969" s="25"/>
      <c r="CE969" s="25"/>
      <c r="CF969" s="26"/>
      <c r="CG969" s="4"/>
      <c r="CH969" s="37"/>
      <c r="CI969" s="37"/>
    </row>
    <row r="970" spans="1:87" ht="15" customHeight="1" x14ac:dyDescent="0.25">
      <c r="A970" s="31"/>
      <c r="B970" s="31"/>
      <c r="C970" s="31"/>
      <c r="D970" s="4"/>
      <c r="E970" s="24"/>
      <c r="F970" s="25"/>
      <c r="G970" s="25"/>
      <c r="H970" s="25"/>
      <c r="I970" s="25"/>
      <c r="J970" s="25"/>
      <c r="K970" s="25"/>
      <c r="L970" s="25"/>
      <c r="M970" s="25"/>
      <c r="N970" s="25"/>
      <c r="O970" s="25"/>
      <c r="P970" s="25"/>
      <c r="Q970" s="25"/>
      <c r="R970" s="25"/>
      <c r="S970" s="25"/>
      <c r="T970" s="25"/>
      <c r="U970" s="25"/>
      <c r="V970" s="25"/>
      <c r="W970" s="25"/>
      <c r="X970" s="25"/>
      <c r="Y970" s="25"/>
      <c r="Z970" s="25"/>
      <c r="AA970" s="25"/>
      <c r="AB970" s="25"/>
      <c r="AC970" s="25"/>
      <c r="AD970" s="25"/>
      <c r="AE970" s="25"/>
      <c r="AF970" s="25"/>
      <c r="AG970" s="25"/>
      <c r="AH970" s="25"/>
      <c r="AI970" s="25"/>
      <c r="AJ970" s="25"/>
      <c r="AK970" s="25"/>
      <c r="AL970" s="25"/>
      <c r="AM970" s="25"/>
      <c r="AN970" s="25"/>
      <c r="AO970" s="25"/>
      <c r="AP970" s="25"/>
      <c r="AQ970" s="25"/>
      <c r="AR970" s="25"/>
      <c r="AS970" s="25"/>
      <c r="AT970" s="25"/>
      <c r="AU970" s="25"/>
      <c r="AV970" s="25"/>
      <c r="AW970" s="25"/>
      <c r="AX970" s="25"/>
      <c r="AY970" s="25"/>
      <c r="AZ970" s="25"/>
      <c r="BA970" s="25"/>
      <c r="BB970" s="25"/>
      <c r="BC970" s="25"/>
      <c r="BD970" s="25"/>
      <c r="BE970" s="25"/>
      <c r="BF970" s="25"/>
      <c r="BG970" s="25"/>
      <c r="BH970" s="25"/>
      <c r="BI970" s="25"/>
      <c r="BJ970" s="25"/>
      <c r="BK970" s="25"/>
      <c r="BL970" s="25"/>
      <c r="BM970" s="25"/>
      <c r="BN970" s="25"/>
      <c r="BO970" s="25"/>
      <c r="BP970" s="25"/>
      <c r="BQ970" s="25"/>
      <c r="BR970" s="25"/>
      <c r="BS970" s="25"/>
      <c r="BT970" s="25"/>
      <c r="BU970" s="25"/>
      <c r="BV970" s="25"/>
      <c r="BW970" s="25"/>
      <c r="BX970" s="25"/>
      <c r="BY970" s="25"/>
      <c r="BZ970" s="25"/>
      <c r="CA970" s="25"/>
      <c r="CB970" s="25"/>
      <c r="CC970" s="25"/>
      <c r="CD970" s="25"/>
      <c r="CE970" s="25"/>
      <c r="CF970" s="26"/>
      <c r="CG970" s="4"/>
      <c r="CH970" s="37"/>
      <c r="CI970" s="37"/>
    </row>
    <row r="971" spans="1:87" ht="15" customHeight="1" x14ac:dyDescent="0.25">
      <c r="A971" s="31"/>
      <c r="B971" s="31"/>
      <c r="C971" s="31"/>
      <c r="D971" s="4"/>
      <c r="E971" s="24"/>
      <c r="F971" s="25"/>
      <c r="G971" s="25"/>
      <c r="H971" s="25"/>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5"/>
      <c r="AK971" s="25"/>
      <c r="AL971" s="25"/>
      <c r="AM971" s="25"/>
      <c r="AN971" s="25"/>
      <c r="AO971" s="25"/>
      <c r="AP971" s="25"/>
      <c r="AQ971" s="25"/>
      <c r="AR971" s="25"/>
      <c r="AS971" s="25"/>
      <c r="AT971" s="25"/>
      <c r="AU971" s="25"/>
      <c r="AV971" s="25"/>
      <c r="AW971" s="25"/>
      <c r="AX971" s="25"/>
      <c r="AY971" s="25"/>
      <c r="AZ971" s="25"/>
      <c r="BA971" s="25"/>
      <c r="BB971" s="25"/>
      <c r="BC971" s="25"/>
      <c r="BD971" s="25"/>
      <c r="BE971" s="25"/>
      <c r="BF971" s="25"/>
      <c r="BG971" s="25"/>
      <c r="BH971" s="25"/>
      <c r="BI971" s="25"/>
      <c r="BJ971" s="25"/>
      <c r="BK971" s="25"/>
      <c r="BL971" s="25"/>
      <c r="BM971" s="25"/>
      <c r="BN971" s="25"/>
      <c r="BO971" s="25"/>
      <c r="BP971" s="25"/>
      <c r="BQ971" s="25"/>
      <c r="BR971" s="25"/>
      <c r="BS971" s="25"/>
      <c r="BT971" s="25"/>
      <c r="BU971" s="25"/>
      <c r="BV971" s="25"/>
      <c r="BW971" s="25"/>
      <c r="BX971" s="25"/>
      <c r="BY971" s="25"/>
      <c r="BZ971" s="25"/>
      <c r="CA971" s="25"/>
      <c r="CB971" s="25"/>
      <c r="CC971" s="25"/>
      <c r="CD971" s="25"/>
      <c r="CE971" s="25"/>
      <c r="CF971" s="26"/>
      <c r="CG971" s="4"/>
      <c r="CH971" s="37"/>
      <c r="CI971" s="37"/>
    </row>
    <row r="972" spans="1:87" ht="15" customHeight="1" x14ac:dyDescent="0.25">
      <c r="A972" s="31"/>
      <c r="B972" s="31"/>
      <c r="C972" s="31"/>
      <c r="D972" s="4"/>
      <c r="E972" s="24"/>
      <c r="F972" s="25"/>
      <c r="G972" s="25"/>
      <c r="H972" s="25"/>
      <c r="I972" s="25"/>
      <c r="J972" s="25"/>
      <c r="K972" s="25"/>
      <c r="L972" s="25"/>
      <c r="M972" s="25"/>
      <c r="N972" s="25"/>
      <c r="O972" s="25"/>
      <c r="P972" s="25"/>
      <c r="Q972" s="25"/>
      <c r="R972" s="25"/>
      <c r="S972" s="25"/>
      <c r="T972" s="25"/>
      <c r="U972" s="25"/>
      <c r="V972" s="25"/>
      <c r="W972" s="25"/>
      <c r="X972" s="25"/>
      <c r="Y972" s="25"/>
      <c r="Z972" s="25"/>
      <c r="AA972" s="25"/>
      <c r="AB972" s="25"/>
      <c r="AC972" s="25"/>
      <c r="AD972" s="25"/>
      <c r="AE972" s="25"/>
      <c r="AF972" s="25"/>
      <c r="AG972" s="25"/>
      <c r="AH972" s="25"/>
      <c r="AI972" s="25"/>
      <c r="AJ972" s="25"/>
      <c r="AK972" s="25"/>
      <c r="AL972" s="25"/>
      <c r="AM972" s="25"/>
      <c r="AN972" s="25"/>
      <c r="AO972" s="25"/>
      <c r="AP972" s="25"/>
      <c r="AQ972" s="25"/>
      <c r="AR972" s="25"/>
      <c r="AS972" s="25"/>
      <c r="AT972" s="25"/>
      <c r="AU972" s="25"/>
      <c r="AV972" s="25"/>
      <c r="AW972" s="25"/>
      <c r="AX972" s="25"/>
      <c r="AY972" s="25"/>
      <c r="AZ972" s="25"/>
      <c r="BA972" s="25"/>
      <c r="BB972" s="25"/>
      <c r="BC972" s="25"/>
      <c r="BD972" s="25"/>
      <c r="BE972" s="25"/>
      <c r="BF972" s="25"/>
      <c r="BG972" s="25"/>
      <c r="BH972" s="25"/>
      <c r="BI972" s="25"/>
      <c r="BJ972" s="25"/>
      <c r="BK972" s="25"/>
      <c r="BL972" s="25"/>
      <c r="BM972" s="25"/>
      <c r="BN972" s="25"/>
      <c r="BO972" s="25"/>
      <c r="BP972" s="25"/>
      <c r="BQ972" s="25"/>
      <c r="BR972" s="25"/>
      <c r="BS972" s="25"/>
      <c r="BT972" s="25"/>
      <c r="BU972" s="25"/>
      <c r="BV972" s="25"/>
      <c r="BW972" s="25"/>
      <c r="BX972" s="25"/>
      <c r="BY972" s="25"/>
      <c r="BZ972" s="25"/>
      <c r="CA972" s="25"/>
      <c r="CB972" s="25"/>
      <c r="CC972" s="25"/>
      <c r="CD972" s="25"/>
      <c r="CE972" s="25"/>
      <c r="CF972" s="26"/>
      <c r="CG972" s="4"/>
      <c r="CH972" s="37"/>
      <c r="CI972" s="37"/>
    </row>
    <row r="973" spans="1:87" ht="15" customHeight="1" x14ac:dyDescent="0.25">
      <c r="A973" s="31"/>
      <c r="B973" s="31"/>
      <c r="C973" s="31"/>
      <c r="D973" s="4"/>
      <c r="E973" s="24"/>
      <c r="F973" s="25"/>
      <c r="G973" s="25"/>
      <c r="H973" s="25"/>
      <c r="I973" s="25"/>
      <c r="J973" s="25"/>
      <c r="K973" s="25"/>
      <c r="L973" s="25"/>
      <c r="M973" s="25"/>
      <c r="N973" s="25"/>
      <c r="O973" s="25"/>
      <c r="P973" s="25"/>
      <c r="Q973" s="25"/>
      <c r="R973" s="25"/>
      <c r="S973" s="25"/>
      <c r="T973" s="25"/>
      <c r="U973" s="25"/>
      <c r="V973" s="25"/>
      <c r="W973" s="25"/>
      <c r="X973" s="25"/>
      <c r="Y973" s="25"/>
      <c r="Z973" s="25"/>
      <c r="AA973" s="25"/>
      <c r="AB973" s="25"/>
      <c r="AC973" s="25"/>
      <c r="AD973" s="25"/>
      <c r="AE973" s="25"/>
      <c r="AF973" s="25"/>
      <c r="AG973" s="25"/>
      <c r="AH973" s="25"/>
      <c r="AI973" s="25"/>
      <c r="AJ973" s="25"/>
      <c r="AK973" s="25"/>
      <c r="AL973" s="25"/>
      <c r="AM973" s="25"/>
      <c r="AN973" s="25"/>
      <c r="AO973" s="25"/>
      <c r="AP973" s="25"/>
      <c r="AQ973" s="25"/>
      <c r="AR973" s="25"/>
      <c r="AS973" s="25"/>
      <c r="AT973" s="25"/>
      <c r="AU973" s="25"/>
      <c r="AV973" s="25"/>
      <c r="AW973" s="25"/>
      <c r="AX973" s="25"/>
      <c r="AY973" s="25"/>
      <c r="AZ973" s="25"/>
      <c r="BA973" s="25"/>
      <c r="BB973" s="25"/>
      <c r="BC973" s="25"/>
      <c r="BD973" s="25"/>
      <c r="BE973" s="25"/>
      <c r="BF973" s="25"/>
      <c r="BG973" s="25"/>
      <c r="BH973" s="25"/>
      <c r="BI973" s="25"/>
      <c r="BJ973" s="25"/>
      <c r="BK973" s="25"/>
      <c r="BL973" s="25"/>
      <c r="BM973" s="25"/>
      <c r="BN973" s="25"/>
      <c r="BO973" s="25"/>
      <c r="BP973" s="25"/>
      <c r="BQ973" s="25"/>
      <c r="BR973" s="25"/>
      <c r="BS973" s="25"/>
      <c r="BT973" s="25"/>
      <c r="BU973" s="25"/>
      <c r="BV973" s="25"/>
      <c r="BW973" s="25"/>
      <c r="BX973" s="25"/>
      <c r="BY973" s="25"/>
      <c r="BZ973" s="25"/>
      <c r="CA973" s="25"/>
      <c r="CB973" s="25"/>
      <c r="CC973" s="25"/>
      <c r="CD973" s="25"/>
      <c r="CE973" s="25"/>
      <c r="CF973" s="26"/>
      <c r="CG973" s="4"/>
      <c r="CH973" s="37"/>
      <c r="CI973" s="37"/>
    </row>
    <row r="974" spans="1:87" ht="15" customHeight="1" x14ac:dyDescent="0.25">
      <c r="A974" s="31"/>
      <c r="B974" s="31"/>
      <c r="C974" s="31"/>
      <c r="D974" s="4"/>
      <c r="E974" s="24"/>
      <c r="F974" s="25"/>
      <c r="G974" s="25"/>
      <c r="H974" s="25"/>
      <c r="I974" s="25"/>
      <c r="J974" s="25"/>
      <c r="K974" s="25"/>
      <c r="L974" s="25"/>
      <c r="M974" s="25"/>
      <c r="N974" s="25"/>
      <c r="O974" s="25"/>
      <c r="P974" s="25"/>
      <c r="Q974" s="25"/>
      <c r="R974" s="25"/>
      <c r="S974" s="25"/>
      <c r="T974" s="25"/>
      <c r="U974" s="25"/>
      <c r="V974" s="25"/>
      <c r="W974" s="25"/>
      <c r="X974" s="25"/>
      <c r="Y974" s="25"/>
      <c r="Z974" s="25"/>
      <c r="AA974" s="25"/>
      <c r="AB974" s="25"/>
      <c r="AC974" s="25"/>
      <c r="AD974" s="25"/>
      <c r="AE974" s="25"/>
      <c r="AF974" s="25"/>
      <c r="AG974" s="25"/>
      <c r="AH974" s="25"/>
      <c r="AI974" s="25"/>
      <c r="AJ974" s="25"/>
      <c r="AK974" s="25"/>
      <c r="AL974" s="25"/>
      <c r="AM974" s="25"/>
      <c r="AN974" s="25"/>
      <c r="AO974" s="25"/>
      <c r="AP974" s="25"/>
      <c r="AQ974" s="25"/>
      <c r="AR974" s="25"/>
      <c r="AS974" s="25"/>
      <c r="AT974" s="25"/>
      <c r="AU974" s="25"/>
      <c r="AV974" s="25"/>
      <c r="AW974" s="25"/>
      <c r="AX974" s="25"/>
      <c r="AY974" s="25"/>
      <c r="AZ974" s="25"/>
      <c r="BA974" s="25"/>
      <c r="BB974" s="25"/>
      <c r="BC974" s="25"/>
      <c r="BD974" s="25"/>
      <c r="BE974" s="25"/>
      <c r="BF974" s="25"/>
      <c r="BG974" s="25"/>
      <c r="BH974" s="25"/>
      <c r="BI974" s="25"/>
      <c r="BJ974" s="25"/>
      <c r="BK974" s="25"/>
      <c r="BL974" s="25"/>
      <c r="BM974" s="25"/>
      <c r="BN974" s="25"/>
      <c r="BO974" s="25"/>
      <c r="BP974" s="25"/>
      <c r="BQ974" s="25"/>
      <c r="BR974" s="25"/>
      <c r="BS974" s="25"/>
      <c r="BT974" s="25"/>
      <c r="BU974" s="25"/>
      <c r="BV974" s="25"/>
      <c r="BW974" s="25"/>
      <c r="BX974" s="25"/>
      <c r="BY974" s="25"/>
      <c r="BZ974" s="25"/>
      <c r="CA974" s="25"/>
      <c r="CB974" s="25"/>
      <c r="CC974" s="25"/>
      <c r="CD974" s="25"/>
      <c r="CE974" s="25"/>
      <c r="CF974" s="26"/>
      <c r="CG974" s="4"/>
      <c r="CH974" s="37"/>
      <c r="CI974" s="37"/>
    </row>
    <row r="975" spans="1:87" ht="15" customHeight="1" x14ac:dyDescent="0.25">
      <c r="A975" s="31"/>
      <c r="B975" s="31"/>
      <c r="C975" s="31"/>
      <c r="D975" s="4"/>
      <c r="E975" s="24"/>
      <c r="F975" s="25"/>
      <c r="G975" s="25"/>
      <c r="H975" s="25"/>
      <c r="I975" s="25"/>
      <c r="J975" s="25"/>
      <c r="K975" s="25"/>
      <c r="L975" s="25"/>
      <c r="M975" s="25"/>
      <c r="N975" s="25"/>
      <c r="O975" s="25"/>
      <c r="P975" s="25"/>
      <c r="Q975" s="25"/>
      <c r="R975" s="25"/>
      <c r="S975" s="25"/>
      <c r="T975" s="25"/>
      <c r="U975" s="25"/>
      <c r="V975" s="25"/>
      <c r="W975" s="25"/>
      <c r="X975" s="25"/>
      <c r="Y975" s="25"/>
      <c r="Z975" s="25"/>
      <c r="AA975" s="25"/>
      <c r="AB975" s="25"/>
      <c r="AC975" s="25"/>
      <c r="AD975" s="25"/>
      <c r="AE975" s="25"/>
      <c r="AF975" s="25"/>
      <c r="AG975" s="25"/>
      <c r="AH975" s="25"/>
      <c r="AI975" s="25"/>
      <c r="AJ975" s="25"/>
      <c r="AK975" s="25"/>
      <c r="AL975" s="25"/>
      <c r="AM975" s="25"/>
      <c r="AN975" s="25"/>
      <c r="AO975" s="25"/>
      <c r="AP975" s="25"/>
      <c r="AQ975" s="25"/>
      <c r="AR975" s="25"/>
      <c r="AS975" s="25"/>
      <c r="AT975" s="25"/>
      <c r="AU975" s="25"/>
      <c r="AV975" s="25"/>
      <c r="AW975" s="25"/>
      <c r="AX975" s="25"/>
      <c r="AY975" s="25"/>
      <c r="AZ975" s="25"/>
      <c r="BA975" s="25"/>
      <c r="BB975" s="25"/>
      <c r="BC975" s="25"/>
      <c r="BD975" s="25"/>
      <c r="BE975" s="25"/>
      <c r="BF975" s="25"/>
      <c r="BG975" s="25"/>
      <c r="BH975" s="25"/>
      <c r="BI975" s="25"/>
      <c r="BJ975" s="25"/>
      <c r="BK975" s="25"/>
      <c r="BL975" s="25"/>
      <c r="BM975" s="25"/>
      <c r="BN975" s="25"/>
      <c r="BO975" s="25"/>
      <c r="BP975" s="25"/>
      <c r="BQ975" s="25"/>
      <c r="BR975" s="25"/>
      <c r="BS975" s="25"/>
      <c r="BT975" s="25"/>
      <c r="BU975" s="25"/>
      <c r="BV975" s="25"/>
      <c r="BW975" s="25"/>
      <c r="BX975" s="25"/>
      <c r="BY975" s="25"/>
      <c r="BZ975" s="25"/>
      <c r="CA975" s="25"/>
      <c r="CB975" s="25"/>
      <c r="CC975" s="25"/>
      <c r="CD975" s="25"/>
      <c r="CE975" s="25"/>
      <c r="CF975" s="26"/>
      <c r="CG975" s="4"/>
      <c r="CH975" s="37"/>
      <c r="CI975" s="37"/>
    </row>
    <row r="976" spans="1:87" ht="15" customHeight="1" x14ac:dyDescent="0.25">
      <c r="A976" s="31"/>
      <c r="B976" s="31"/>
      <c r="C976" s="31"/>
      <c r="D976" s="4"/>
      <c r="E976" s="24"/>
      <c r="F976" s="25"/>
      <c r="G976" s="25"/>
      <c r="H976" s="25"/>
      <c r="I976" s="25"/>
      <c r="J976" s="25"/>
      <c r="K976" s="25"/>
      <c r="L976" s="25"/>
      <c r="M976" s="25"/>
      <c r="N976" s="25"/>
      <c r="O976" s="25"/>
      <c r="P976" s="25"/>
      <c r="Q976" s="25"/>
      <c r="R976" s="25"/>
      <c r="S976" s="25"/>
      <c r="T976" s="25"/>
      <c r="U976" s="25"/>
      <c r="V976" s="25"/>
      <c r="W976" s="25"/>
      <c r="X976" s="25"/>
      <c r="Y976" s="25"/>
      <c r="Z976" s="25"/>
      <c r="AA976" s="25"/>
      <c r="AB976" s="25"/>
      <c r="AC976" s="25"/>
      <c r="AD976" s="25"/>
      <c r="AE976" s="25"/>
      <c r="AF976" s="25"/>
      <c r="AG976" s="25"/>
      <c r="AH976" s="25"/>
      <c r="AI976" s="25"/>
      <c r="AJ976" s="25"/>
      <c r="AK976" s="25"/>
      <c r="AL976" s="25"/>
      <c r="AM976" s="25"/>
      <c r="AN976" s="25"/>
      <c r="AO976" s="25"/>
      <c r="AP976" s="25"/>
      <c r="AQ976" s="25"/>
      <c r="AR976" s="25"/>
      <c r="AS976" s="25"/>
      <c r="AT976" s="25"/>
      <c r="AU976" s="25"/>
      <c r="AV976" s="25"/>
      <c r="AW976" s="25"/>
      <c r="AX976" s="25"/>
      <c r="AY976" s="25"/>
      <c r="AZ976" s="25"/>
      <c r="BA976" s="25"/>
      <c r="BB976" s="25"/>
      <c r="BC976" s="25"/>
      <c r="BD976" s="25"/>
      <c r="BE976" s="25"/>
      <c r="BF976" s="25"/>
      <c r="BG976" s="25"/>
      <c r="BH976" s="25"/>
      <c r="BI976" s="25"/>
      <c r="BJ976" s="25"/>
      <c r="BK976" s="25"/>
      <c r="BL976" s="25"/>
      <c r="BM976" s="25"/>
      <c r="BN976" s="25"/>
      <c r="BO976" s="25"/>
      <c r="BP976" s="25"/>
      <c r="BQ976" s="25"/>
      <c r="BR976" s="25"/>
      <c r="BS976" s="25"/>
      <c r="BT976" s="25"/>
      <c r="BU976" s="25"/>
      <c r="BV976" s="25"/>
      <c r="BW976" s="25"/>
      <c r="BX976" s="25"/>
      <c r="BY976" s="25"/>
      <c r="BZ976" s="25"/>
      <c r="CA976" s="25"/>
      <c r="CB976" s="25"/>
      <c r="CC976" s="25"/>
      <c r="CD976" s="25"/>
      <c r="CE976" s="25"/>
      <c r="CF976" s="26"/>
      <c r="CG976" s="4"/>
      <c r="CH976" s="37"/>
      <c r="CI976" s="37"/>
    </row>
    <row r="977" spans="1:87" ht="15" customHeight="1" x14ac:dyDescent="0.25">
      <c r="A977" s="31"/>
      <c r="B977" s="31"/>
      <c r="C977" s="31"/>
      <c r="D977" s="4"/>
      <c r="E977" s="24"/>
      <c r="F977" s="25"/>
      <c r="G977" s="25"/>
      <c r="H977" s="25"/>
      <c r="I977" s="25"/>
      <c r="J977" s="25"/>
      <c r="K977" s="25"/>
      <c r="L977" s="25"/>
      <c r="M977" s="25"/>
      <c r="N977" s="25"/>
      <c r="O977" s="25"/>
      <c r="P977" s="25"/>
      <c r="Q977" s="25"/>
      <c r="R977" s="25"/>
      <c r="S977" s="25"/>
      <c r="T977" s="25"/>
      <c r="U977" s="25"/>
      <c r="V977" s="25"/>
      <c r="W977" s="25"/>
      <c r="X977" s="25"/>
      <c r="Y977" s="25"/>
      <c r="Z977" s="25"/>
      <c r="AA977" s="25"/>
      <c r="AB977" s="25"/>
      <c r="AC977" s="25"/>
      <c r="AD977" s="25"/>
      <c r="AE977" s="25"/>
      <c r="AF977" s="25"/>
      <c r="AG977" s="25"/>
      <c r="AH977" s="25"/>
      <c r="AI977" s="25"/>
      <c r="AJ977" s="25"/>
      <c r="AK977" s="25"/>
      <c r="AL977" s="25"/>
      <c r="AM977" s="25"/>
      <c r="AN977" s="25"/>
      <c r="AO977" s="25"/>
      <c r="AP977" s="25"/>
      <c r="AQ977" s="25"/>
      <c r="AR977" s="25"/>
      <c r="AS977" s="25"/>
      <c r="AT977" s="25"/>
      <c r="AU977" s="25"/>
      <c r="AV977" s="25"/>
      <c r="AW977" s="25"/>
      <c r="AX977" s="25"/>
      <c r="AY977" s="25"/>
      <c r="AZ977" s="25"/>
      <c r="BA977" s="25"/>
      <c r="BB977" s="25"/>
      <c r="BC977" s="25"/>
      <c r="BD977" s="25"/>
      <c r="BE977" s="25"/>
      <c r="BF977" s="25"/>
      <c r="BG977" s="25"/>
      <c r="BH977" s="25"/>
      <c r="BI977" s="25"/>
      <c r="BJ977" s="25"/>
      <c r="BK977" s="25"/>
      <c r="BL977" s="25"/>
      <c r="BM977" s="25"/>
      <c r="BN977" s="25"/>
      <c r="BO977" s="25"/>
      <c r="BP977" s="25"/>
      <c r="BQ977" s="25"/>
      <c r="BR977" s="25"/>
      <c r="BS977" s="25"/>
      <c r="BT977" s="25"/>
      <c r="BU977" s="25"/>
      <c r="BV977" s="25"/>
      <c r="BW977" s="25"/>
      <c r="BX977" s="25"/>
      <c r="BY977" s="25"/>
      <c r="BZ977" s="25"/>
      <c r="CA977" s="25"/>
      <c r="CB977" s="25"/>
      <c r="CC977" s="25"/>
      <c r="CD977" s="25"/>
      <c r="CE977" s="25"/>
      <c r="CF977" s="26"/>
      <c r="CG977" s="4"/>
      <c r="CH977" s="37"/>
      <c r="CI977" s="37"/>
    </row>
    <row r="978" spans="1:87" ht="15" customHeight="1" x14ac:dyDescent="0.25">
      <c r="A978" s="31"/>
      <c r="B978" s="31"/>
      <c r="C978" s="31"/>
      <c r="D978" s="4"/>
      <c r="E978" s="24"/>
      <c r="F978" s="25"/>
      <c r="G978" s="25"/>
      <c r="H978" s="25"/>
      <c r="I978" s="25"/>
      <c r="J978" s="25"/>
      <c r="K978" s="25"/>
      <c r="L978" s="25"/>
      <c r="M978" s="25"/>
      <c r="N978" s="25"/>
      <c r="O978" s="25"/>
      <c r="P978" s="25"/>
      <c r="Q978" s="25"/>
      <c r="R978" s="25"/>
      <c r="S978" s="25"/>
      <c r="T978" s="25"/>
      <c r="U978" s="25"/>
      <c r="V978" s="25"/>
      <c r="W978" s="25"/>
      <c r="X978" s="25"/>
      <c r="Y978" s="25"/>
      <c r="Z978" s="25"/>
      <c r="AA978" s="25"/>
      <c r="AB978" s="25"/>
      <c r="AC978" s="25"/>
      <c r="AD978" s="25"/>
      <c r="AE978" s="25"/>
      <c r="AF978" s="25"/>
      <c r="AG978" s="25"/>
      <c r="AH978" s="25"/>
      <c r="AI978" s="25"/>
      <c r="AJ978" s="25"/>
      <c r="AK978" s="25"/>
      <c r="AL978" s="25"/>
      <c r="AM978" s="25"/>
      <c r="AN978" s="25"/>
      <c r="AO978" s="25"/>
      <c r="AP978" s="25"/>
      <c r="AQ978" s="25"/>
      <c r="AR978" s="25"/>
      <c r="AS978" s="25"/>
      <c r="AT978" s="25"/>
      <c r="AU978" s="25"/>
      <c r="AV978" s="25"/>
      <c r="AW978" s="25"/>
      <c r="AX978" s="25"/>
      <c r="AY978" s="25"/>
      <c r="AZ978" s="25"/>
      <c r="BA978" s="25"/>
      <c r="BB978" s="25"/>
      <c r="BC978" s="25"/>
      <c r="BD978" s="25"/>
      <c r="BE978" s="25"/>
      <c r="BF978" s="25"/>
      <c r="BG978" s="25"/>
      <c r="BH978" s="25"/>
      <c r="BI978" s="25"/>
      <c r="BJ978" s="25"/>
      <c r="BK978" s="25"/>
      <c r="BL978" s="25"/>
      <c r="BM978" s="25"/>
      <c r="BN978" s="25"/>
      <c r="BO978" s="25"/>
      <c r="BP978" s="25"/>
      <c r="BQ978" s="25"/>
      <c r="BR978" s="25"/>
      <c r="BS978" s="25"/>
      <c r="BT978" s="25"/>
      <c r="BU978" s="25"/>
      <c r="BV978" s="25"/>
      <c r="BW978" s="25"/>
      <c r="BX978" s="25"/>
      <c r="BY978" s="25"/>
      <c r="BZ978" s="25"/>
      <c r="CA978" s="25"/>
      <c r="CB978" s="25"/>
      <c r="CC978" s="25"/>
      <c r="CD978" s="25"/>
      <c r="CE978" s="25"/>
      <c r="CF978" s="26"/>
      <c r="CG978" s="4"/>
      <c r="CH978" s="37"/>
      <c r="CI978" s="37"/>
    </row>
    <row r="979" spans="1:87" ht="15" customHeight="1" x14ac:dyDescent="0.25">
      <c r="A979" s="31"/>
      <c r="B979" s="31"/>
      <c r="C979" s="31"/>
      <c r="D979" s="4"/>
      <c r="E979" s="24"/>
      <c r="F979" s="25"/>
      <c r="G979" s="25"/>
      <c r="H979" s="25"/>
      <c r="I979" s="25"/>
      <c r="J979" s="25"/>
      <c r="K979" s="25"/>
      <c r="L979" s="25"/>
      <c r="M979" s="25"/>
      <c r="N979" s="25"/>
      <c r="O979" s="25"/>
      <c r="P979" s="25"/>
      <c r="Q979" s="25"/>
      <c r="R979" s="25"/>
      <c r="S979" s="25"/>
      <c r="T979" s="25"/>
      <c r="U979" s="25"/>
      <c r="V979" s="25"/>
      <c r="W979" s="25"/>
      <c r="X979" s="25"/>
      <c r="Y979" s="25"/>
      <c r="Z979" s="25"/>
      <c r="AA979" s="25"/>
      <c r="AB979" s="25"/>
      <c r="AC979" s="25"/>
      <c r="AD979" s="25"/>
      <c r="AE979" s="25"/>
      <c r="AF979" s="25"/>
      <c r="AG979" s="25"/>
      <c r="AH979" s="25"/>
      <c r="AI979" s="25"/>
      <c r="AJ979" s="25"/>
      <c r="AK979" s="25"/>
      <c r="AL979" s="25"/>
      <c r="AM979" s="25"/>
      <c r="AN979" s="25"/>
      <c r="AO979" s="25"/>
      <c r="AP979" s="25"/>
      <c r="AQ979" s="25"/>
      <c r="AR979" s="25"/>
      <c r="AS979" s="25"/>
      <c r="AT979" s="25"/>
      <c r="AU979" s="25"/>
      <c r="AV979" s="25"/>
      <c r="AW979" s="25"/>
      <c r="AX979" s="25"/>
      <c r="AY979" s="25"/>
      <c r="AZ979" s="25"/>
      <c r="BA979" s="25"/>
      <c r="BB979" s="25"/>
      <c r="BC979" s="25"/>
      <c r="BD979" s="25"/>
      <c r="BE979" s="25"/>
      <c r="BF979" s="25"/>
      <c r="BG979" s="25"/>
      <c r="BH979" s="25"/>
      <c r="BI979" s="25"/>
      <c r="BJ979" s="25"/>
      <c r="BK979" s="25"/>
      <c r="BL979" s="25"/>
      <c r="BM979" s="25"/>
      <c r="BN979" s="25"/>
      <c r="BO979" s="25"/>
      <c r="BP979" s="25"/>
      <c r="BQ979" s="25"/>
      <c r="BR979" s="25"/>
      <c r="BS979" s="25"/>
      <c r="BT979" s="25"/>
      <c r="BU979" s="25"/>
      <c r="BV979" s="25"/>
      <c r="BW979" s="25"/>
      <c r="BX979" s="25"/>
      <c r="BY979" s="25"/>
      <c r="BZ979" s="25"/>
      <c r="CA979" s="25"/>
      <c r="CB979" s="25"/>
      <c r="CC979" s="25"/>
      <c r="CD979" s="25"/>
      <c r="CE979" s="25"/>
      <c r="CF979" s="26"/>
      <c r="CG979" s="4"/>
      <c r="CH979" s="37"/>
      <c r="CI979" s="37"/>
    </row>
    <row r="980" spans="1:87" ht="15" customHeight="1" x14ac:dyDescent="0.25">
      <c r="A980" s="31"/>
      <c r="B980" s="31"/>
      <c r="C980" s="31"/>
      <c r="D980" s="4"/>
      <c r="E980" s="24"/>
      <c r="F980" s="25"/>
      <c r="G980" s="25"/>
      <c r="H980" s="25"/>
      <c r="I980" s="25"/>
      <c r="J980" s="25"/>
      <c r="K980" s="25"/>
      <c r="L980" s="25"/>
      <c r="M980" s="25"/>
      <c r="N980" s="25"/>
      <c r="O980" s="25"/>
      <c r="P980" s="25"/>
      <c r="Q980" s="25"/>
      <c r="R980" s="25"/>
      <c r="S980" s="25"/>
      <c r="T980" s="25"/>
      <c r="U980" s="25"/>
      <c r="V980" s="25"/>
      <c r="W980" s="25"/>
      <c r="X980" s="25"/>
      <c r="Y980" s="25"/>
      <c r="Z980" s="25"/>
      <c r="AA980" s="25"/>
      <c r="AB980" s="25"/>
      <c r="AC980" s="25"/>
      <c r="AD980" s="25"/>
      <c r="AE980" s="25"/>
      <c r="AF980" s="25"/>
      <c r="AG980" s="25"/>
      <c r="AH980" s="25"/>
      <c r="AI980" s="25"/>
      <c r="AJ980" s="25"/>
      <c r="AK980" s="25"/>
      <c r="AL980" s="25"/>
      <c r="AM980" s="25"/>
      <c r="AN980" s="25"/>
      <c r="AO980" s="25"/>
      <c r="AP980" s="25"/>
      <c r="AQ980" s="25"/>
      <c r="AR980" s="25"/>
      <c r="AS980" s="25"/>
      <c r="AT980" s="25"/>
      <c r="AU980" s="25"/>
      <c r="AV980" s="25"/>
      <c r="AW980" s="25"/>
      <c r="AX980" s="25"/>
      <c r="AY980" s="25"/>
      <c r="AZ980" s="25"/>
      <c r="BA980" s="25"/>
      <c r="BB980" s="25"/>
      <c r="BC980" s="25"/>
      <c r="BD980" s="25"/>
      <c r="BE980" s="25"/>
      <c r="BF980" s="25"/>
      <c r="BG980" s="25"/>
      <c r="BH980" s="25"/>
      <c r="BI980" s="25"/>
      <c r="BJ980" s="25"/>
      <c r="BK980" s="25"/>
      <c r="BL980" s="25"/>
      <c r="BM980" s="25"/>
      <c r="BN980" s="25"/>
      <c r="BO980" s="25"/>
      <c r="BP980" s="25"/>
      <c r="BQ980" s="25"/>
      <c r="BR980" s="25"/>
      <c r="BS980" s="25"/>
      <c r="BT980" s="25"/>
      <c r="BU980" s="25"/>
      <c r="BV980" s="25"/>
      <c r="BW980" s="25"/>
      <c r="BX980" s="25"/>
      <c r="BY980" s="25"/>
      <c r="BZ980" s="25"/>
      <c r="CA980" s="25"/>
      <c r="CB980" s="25"/>
      <c r="CC980" s="25"/>
      <c r="CD980" s="25"/>
      <c r="CE980" s="25"/>
      <c r="CF980" s="26"/>
      <c r="CG980" s="4"/>
      <c r="CH980" s="37"/>
      <c r="CI980" s="37"/>
    </row>
    <row r="981" spans="1:87" ht="15" customHeight="1" x14ac:dyDescent="0.25">
      <c r="A981" s="31"/>
      <c r="B981" s="31"/>
      <c r="C981" s="31"/>
      <c r="D981" s="4"/>
      <c r="E981" s="24"/>
      <c r="F981" s="25"/>
      <c r="G981" s="25"/>
      <c r="H981" s="25"/>
      <c r="I981" s="25"/>
      <c r="J981" s="25"/>
      <c r="K981" s="25"/>
      <c r="L981" s="25"/>
      <c r="M981" s="25"/>
      <c r="N981" s="25"/>
      <c r="O981" s="25"/>
      <c r="P981" s="25"/>
      <c r="Q981" s="25"/>
      <c r="R981" s="25"/>
      <c r="S981" s="25"/>
      <c r="T981" s="25"/>
      <c r="U981" s="25"/>
      <c r="V981" s="25"/>
      <c r="W981" s="25"/>
      <c r="X981" s="25"/>
      <c r="Y981" s="25"/>
      <c r="Z981" s="25"/>
      <c r="AA981" s="25"/>
      <c r="AB981" s="25"/>
      <c r="AC981" s="25"/>
      <c r="AD981" s="25"/>
      <c r="AE981" s="25"/>
      <c r="AF981" s="25"/>
      <c r="AG981" s="25"/>
      <c r="AH981" s="25"/>
      <c r="AI981" s="25"/>
      <c r="AJ981" s="25"/>
      <c r="AK981" s="25"/>
      <c r="AL981" s="25"/>
      <c r="AM981" s="25"/>
      <c r="AN981" s="25"/>
      <c r="AO981" s="25"/>
      <c r="AP981" s="25"/>
      <c r="AQ981" s="25"/>
      <c r="AR981" s="25"/>
      <c r="AS981" s="25"/>
      <c r="AT981" s="25"/>
      <c r="AU981" s="25"/>
      <c r="AV981" s="25"/>
      <c r="AW981" s="25"/>
      <c r="AX981" s="25"/>
      <c r="AY981" s="25"/>
      <c r="AZ981" s="25"/>
      <c r="BA981" s="25"/>
      <c r="BB981" s="25"/>
      <c r="BC981" s="25"/>
      <c r="BD981" s="25"/>
      <c r="BE981" s="25"/>
      <c r="BF981" s="25"/>
      <c r="BG981" s="25"/>
      <c r="BH981" s="25"/>
      <c r="BI981" s="25"/>
      <c r="BJ981" s="25"/>
      <c r="BK981" s="25"/>
      <c r="BL981" s="25"/>
      <c r="BM981" s="25"/>
      <c r="BN981" s="25"/>
      <c r="BO981" s="25"/>
      <c r="BP981" s="25"/>
      <c r="BQ981" s="25"/>
      <c r="BR981" s="25"/>
      <c r="BS981" s="25"/>
      <c r="BT981" s="25"/>
      <c r="BU981" s="25"/>
      <c r="BV981" s="25"/>
      <c r="BW981" s="25"/>
      <c r="BX981" s="25"/>
      <c r="BY981" s="25"/>
      <c r="BZ981" s="25"/>
      <c r="CA981" s="25"/>
      <c r="CB981" s="25"/>
      <c r="CC981" s="25"/>
      <c r="CD981" s="25"/>
      <c r="CE981" s="25"/>
      <c r="CF981" s="26"/>
      <c r="CG981" s="4"/>
      <c r="CH981" s="37"/>
      <c r="CI981" s="37"/>
    </row>
    <row r="982" spans="1:87" ht="15" customHeight="1" x14ac:dyDescent="0.25">
      <c r="A982" s="31"/>
      <c r="B982" s="31"/>
      <c r="C982" s="31"/>
      <c r="D982" s="4"/>
      <c r="E982" s="24"/>
      <c r="F982" s="25"/>
      <c r="G982" s="25"/>
      <c r="H982" s="25"/>
      <c r="I982" s="25"/>
      <c r="J982" s="25"/>
      <c r="K982" s="25"/>
      <c r="L982" s="25"/>
      <c r="M982" s="25"/>
      <c r="N982" s="25"/>
      <c r="O982" s="25"/>
      <c r="P982" s="25"/>
      <c r="Q982" s="25"/>
      <c r="R982" s="25"/>
      <c r="S982" s="25"/>
      <c r="T982" s="25"/>
      <c r="U982" s="25"/>
      <c r="V982" s="25"/>
      <c r="W982" s="25"/>
      <c r="X982" s="25"/>
      <c r="Y982" s="25"/>
      <c r="Z982" s="25"/>
      <c r="AA982" s="25"/>
      <c r="AB982" s="25"/>
      <c r="AC982" s="25"/>
      <c r="AD982" s="25"/>
      <c r="AE982" s="25"/>
      <c r="AF982" s="25"/>
      <c r="AG982" s="25"/>
      <c r="AH982" s="25"/>
      <c r="AI982" s="25"/>
      <c r="AJ982" s="25"/>
      <c r="AK982" s="25"/>
      <c r="AL982" s="25"/>
      <c r="AM982" s="25"/>
      <c r="AN982" s="25"/>
      <c r="AO982" s="25"/>
      <c r="AP982" s="25"/>
      <c r="AQ982" s="25"/>
      <c r="AR982" s="25"/>
      <c r="AS982" s="25"/>
      <c r="AT982" s="25"/>
      <c r="AU982" s="25"/>
      <c r="AV982" s="25"/>
      <c r="AW982" s="25"/>
      <c r="AX982" s="25"/>
      <c r="AY982" s="25"/>
      <c r="AZ982" s="25"/>
      <c r="BA982" s="25"/>
      <c r="BB982" s="25"/>
      <c r="BC982" s="25"/>
      <c r="BD982" s="25"/>
      <c r="BE982" s="25"/>
      <c r="BF982" s="25"/>
      <c r="BG982" s="25"/>
      <c r="BH982" s="25"/>
      <c r="BI982" s="25"/>
      <c r="BJ982" s="25"/>
      <c r="BK982" s="25"/>
      <c r="BL982" s="25"/>
      <c r="BM982" s="25"/>
      <c r="BN982" s="25"/>
      <c r="BO982" s="25"/>
      <c r="BP982" s="25"/>
      <c r="BQ982" s="25"/>
      <c r="BR982" s="25"/>
      <c r="BS982" s="25"/>
      <c r="BT982" s="25"/>
      <c r="BU982" s="25"/>
      <c r="BV982" s="25"/>
      <c r="BW982" s="25"/>
      <c r="BX982" s="25"/>
      <c r="BY982" s="25"/>
      <c r="BZ982" s="25"/>
      <c r="CA982" s="25"/>
      <c r="CB982" s="25"/>
      <c r="CC982" s="25"/>
      <c r="CD982" s="25"/>
      <c r="CE982" s="25"/>
      <c r="CF982" s="26"/>
      <c r="CG982" s="4"/>
      <c r="CH982" s="37"/>
      <c r="CI982" s="37"/>
    </row>
    <row r="983" spans="1:87" ht="15" customHeight="1" x14ac:dyDescent="0.25">
      <c r="A983" s="31"/>
      <c r="B983" s="31"/>
      <c r="C983" s="31"/>
      <c r="D983" s="4"/>
      <c r="E983" s="24"/>
      <c r="F983" s="25"/>
      <c r="G983" s="25"/>
      <c r="H983" s="25"/>
      <c r="I983" s="25"/>
      <c r="J983" s="25"/>
      <c r="K983" s="25"/>
      <c r="L983" s="25"/>
      <c r="M983" s="25"/>
      <c r="N983" s="25"/>
      <c r="O983" s="25"/>
      <c r="P983" s="25"/>
      <c r="Q983" s="25"/>
      <c r="R983" s="25"/>
      <c r="S983" s="25"/>
      <c r="T983" s="25"/>
      <c r="U983" s="25"/>
      <c r="V983" s="25"/>
      <c r="W983" s="25"/>
      <c r="X983" s="25"/>
      <c r="Y983" s="25"/>
      <c r="Z983" s="25"/>
      <c r="AA983" s="25"/>
      <c r="AB983" s="25"/>
      <c r="AC983" s="25"/>
      <c r="AD983" s="25"/>
      <c r="AE983" s="25"/>
      <c r="AF983" s="25"/>
      <c r="AG983" s="25"/>
      <c r="AH983" s="25"/>
      <c r="AI983" s="25"/>
      <c r="AJ983" s="25"/>
      <c r="AK983" s="25"/>
      <c r="AL983" s="25"/>
      <c r="AM983" s="25"/>
      <c r="AN983" s="25"/>
      <c r="AO983" s="25"/>
      <c r="AP983" s="25"/>
      <c r="AQ983" s="25"/>
      <c r="AR983" s="25"/>
      <c r="AS983" s="25"/>
      <c r="AT983" s="25"/>
      <c r="AU983" s="25"/>
      <c r="AV983" s="25"/>
      <c r="AW983" s="25"/>
      <c r="AX983" s="25"/>
      <c r="AY983" s="25"/>
      <c r="AZ983" s="25"/>
      <c r="BA983" s="25"/>
      <c r="BB983" s="25"/>
      <c r="BC983" s="25"/>
      <c r="BD983" s="25"/>
      <c r="BE983" s="25"/>
      <c r="BF983" s="25"/>
      <c r="BG983" s="25"/>
      <c r="BH983" s="25"/>
      <c r="BI983" s="25"/>
      <c r="BJ983" s="25"/>
      <c r="BK983" s="25"/>
      <c r="BL983" s="25"/>
      <c r="BM983" s="25"/>
      <c r="BN983" s="25"/>
      <c r="BO983" s="25"/>
      <c r="BP983" s="25"/>
      <c r="BQ983" s="25"/>
      <c r="BR983" s="25"/>
      <c r="BS983" s="25"/>
      <c r="BT983" s="25"/>
      <c r="BU983" s="25"/>
      <c r="BV983" s="25"/>
      <c r="BW983" s="25"/>
      <c r="BX983" s="25"/>
      <c r="BY983" s="25"/>
      <c r="BZ983" s="25"/>
      <c r="CA983" s="25"/>
      <c r="CB983" s="25"/>
      <c r="CC983" s="25"/>
      <c r="CD983" s="25"/>
      <c r="CE983" s="25"/>
      <c r="CF983" s="26"/>
      <c r="CG983" s="4"/>
      <c r="CH983" s="37"/>
      <c r="CI983" s="37"/>
    </row>
    <row r="984" spans="1:87" ht="15" customHeight="1" x14ac:dyDescent="0.25">
      <c r="A984" s="31"/>
      <c r="B984" s="31"/>
      <c r="C984" s="31"/>
      <c r="D984" s="4"/>
      <c r="E984" s="24"/>
      <c r="F984" s="25"/>
      <c r="G984" s="25"/>
      <c r="H984" s="25"/>
      <c r="I984" s="25"/>
      <c r="J984" s="25"/>
      <c r="K984" s="25"/>
      <c r="L984" s="25"/>
      <c r="M984" s="25"/>
      <c r="N984" s="25"/>
      <c r="O984" s="25"/>
      <c r="P984" s="25"/>
      <c r="Q984" s="25"/>
      <c r="R984" s="25"/>
      <c r="S984" s="25"/>
      <c r="T984" s="25"/>
      <c r="U984" s="25"/>
      <c r="V984" s="25"/>
      <c r="W984" s="25"/>
      <c r="X984" s="25"/>
      <c r="Y984" s="25"/>
      <c r="Z984" s="25"/>
      <c r="AA984" s="25"/>
      <c r="AB984" s="25"/>
      <c r="AC984" s="25"/>
      <c r="AD984" s="25"/>
      <c r="AE984" s="25"/>
      <c r="AF984" s="25"/>
      <c r="AG984" s="25"/>
      <c r="AH984" s="25"/>
      <c r="AI984" s="25"/>
      <c r="AJ984" s="25"/>
      <c r="AK984" s="25"/>
      <c r="AL984" s="25"/>
      <c r="AM984" s="25"/>
      <c r="AN984" s="25"/>
      <c r="AO984" s="25"/>
      <c r="AP984" s="25"/>
      <c r="AQ984" s="25"/>
      <c r="AR984" s="25"/>
      <c r="AS984" s="25"/>
      <c r="AT984" s="25"/>
      <c r="AU984" s="25"/>
      <c r="AV984" s="25"/>
      <c r="AW984" s="25"/>
      <c r="AX984" s="25"/>
      <c r="AY984" s="25"/>
      <c r="AZ984" s="25"/>
      <c r="BA984" s="25"/>
      <c r="BB984" s="25"/>
      <c r="BC984" s="25"/>
      <c r="BD984" s="25"/>
      <c r="BE984" s="25"/>
      <c r="BF984" s="25"/>
      <c r="BG984" s="25"/>
      <c r="BH984" s="25"/>
      <c r="BI984" s="25"/>
      <c r="BJ984" s="25"/>
      <c r="BK984" s="25"/>
      <c r="BL984" s="25"/>
      <c r="BM984" s="25"/>
      <c r="BN984" s="25"/>
      <c r="BO984" s="25"/>
      <c r="BP984" s="25"/>
      <c r="BQ984" s="25"/>
      <c r="BR984" s="25"/>
      <c r="BS984" s="25"/>
      <c r="BT984" s="25"/>
      <c r="BU984" s="25"/>
      <c r="BV984" s="25"/>
      <c r="BW984" s="25"/>
      <c r="BX984" s="25"/>
      <c r="BY984" s="25"/>
      <c r="BZ984" s="25"/>
      <c r="CA984" s="25"/>
      <c r="CB984" s="25"/>
      <c r="CC984" s="25"/>
      <c r="CD984" s="25"/>
      <c r="CE984" s="25"/>
      <c r="CF984" s="26"/>
      <c r="CG984" s="4"/>
      <c r="CH984" s="37"/>
      <c r="CI984" s="37"/>
    </row>
    <row r="985" spans="1:87" ht="15" customHeight="1" x14ac:dyDescent="0.25">
      <c r="A985" s="31"/>
      <c r="B985" s="31"/>
      <c r="C985" s="31"/>
      <c r="D985" s="4"/>
      <c r="E985" s="24"/>
      <c r="F985" s="25"/>
      <c r="G985" s="25"/>
      <c r="H985" s="25"/>
      <c r="I985" s="25"/>
      <c r="J985" s="25"/>
      <c r="K985" s="25"/>
      <c r="L985" s="25"/>
      <c r="M985" s="25"/>
      <c r="N985" s="25"/>
      <c r="O985" s="25"/>
      <c r="P985" s="25"/>
      <c r="Q985" s="25"/>
      <c r="R985" s="25"/>
      <c r="S985" s="25"/>
      <c r="T985" s="25"/>
      <c r="U985" s="25"/>
      <c r="V985" s="25"/>
      <c r="W985" s="25"/>
      <c r="X985" s="25"/>
      <c r="Y985" s="25"/>
      <c r="Z985" s="25"/>
      <c r="AA985" s="25"/>
      <c r="AB985" s="25"/>
      <c r="AC985" s="25"/>
      <c r="AD985" s="25"/>
      <c r="AE985" s="25"/>
      <c r="AF985" s="25"/>
      <c r="AG985" s="25"/>
      <c r="AH985" s="25"/>
      <c r="AI985" s="25"/>
      <c r="AJ985" s="25"/>
      <c r="AK985" s="25"/>
      <c r="AL985" s="25"/>
      <c r="AM985" s="25"/>
      <c r="AN985" s="25"/>
      <c r="AO985" s="25"/>
      <c r="AP985" s="25"/>
      <c r="AQ985" s="25"/>
      <c r="AR985" s="25"/>
      <c r="AS985" s="25"/>
      <c r="AT985" s="25"/>
      <c r="AU985" s="25"/>
      <c r="AV985" s="25"/>
      <c r="AW985" s="25"/>
      <c r="AX985" s="25"/>
      <c r="AY985" s="25"/>
      <c r="AZ985" s="25"/>
      <c r="BA985" s="25"/>
      <c r="BB985" s="25"/>
      <c r="BC985" s="25"/>
      <c r="BD985" s="25"/>
      <c r="BE985" s="25"/>
      <c r="BF985" s="25"/>
      <c r="BG985" s="25"/>
      <c r="BH985" s="25"/>
      <c r="BI985" s="25"/>
      <c r="BJ985" s="25"/>
      <c r="BK985" s="25"/>
      <c r="BL985" s="25"/>
      <c r="BM985" s="25"/>
      <c r="BN985" s="25"/>
      <c r="BO985" s="25"/>
      <c r="BP985" s="25"/>
      <c r="BQ985" s="25"/>
      <c r="BR985" s="25"/>
      <c r="BS985" s="25"/>
      <c r="BT985" s="25"/>
      <c r="BU985" s="25"/>
      <c r="BV985" s="25"/>
      <c r="BW985" s="25"/>
      <c r="BX985" s="25"/>
      <c r="BY985" s="25"/>
      <c r="BZ985" s="25"/>
      <c r="CA985" s="25"/>
      <c r="CB985" s="25"/>
      <c r="CC985" s="25"/>
      <c r="CD985" s="25"/>
      <c r="CE985" s="25"/>
      <c r="CF985" s="26"/>
      <c r="CG985" s="4"/>
      <c r="CH985" s="37"/>
      <c r="CI985" s="37"/>
    </row>
    <row r="986" spans="1:87" ht="15" customHeight="1" x14ac:dyDescent="0.25">
      <c r="A986" s="31"/>
      <c r="B986" s="31"/>
      <c r="C986" s="31"/>
      <c r="D986" s="4"/>
      <c r="E986" s="24"/>
      <c r="F986" s="25"/>
      <c r="G986" s="25"/>
      <c r="H986" s="25"/>
      <c r="I986" s="25"/>
      <c r="J986" s="25"/>
      <c r="K986" s="25"/>
      <c r="L986" s="25"/>
      <c r="M986" s="25"/>
      <c r="N986" s="25"/>
      <c r="O986" s="25"/>
      <c r="P986" s="25"/>
      <c r="Q986" s="25"/>
      <c r="R986" s="25"/>
      <c r="S986" s="25"/>
      <c r="T986" s="25"/>
      <c r="U986" s="25"/>
      <c r="V986" s="25"/>
      <c r="W986" s="25"/>
      <c r="X986" s="25"/>
      <c r="Y986" s="25"/>
      <c r="Z986" s="25"/>
      <c r="AA986" s="25"/>
      <c r="AB986" s="25"/>
      <c r="AC986" s="25"/>
      <c r="AD986" s="25"/>
      <c r="AE986" s="25"/>
      <c r="AF986" s="25"/>
      <c r="AG986" s="25"/>
      <c r="AH986" s="25"/>
      <c r="AI986" s="25"/>
      <c r="AJ986" s="25"/>
      <c r="AK986" s="25"/>
      <c r="AL986" s="25"/>
      <c r="AM986" s="25"/>
      <c r="AN986" s="25"/>
      <c r="AO986" s="25"/>
      <c r="AP986" s="25"/>
      <c r="AQ986" s="25"/>
      <c r="AR986" s="25"/>
      <c r="AS986" s="25"/>
      <c r="AT986" s="25"/>
      <c r="AU986" s="25"/>
      <c r="AV986" s="25"/>
      <c r="AW986" s="25"/>
      <c r="AX986" s="25"/>
      <c r="AY986" s="25"/>
      <c r="AZ986" s="25"/>
      <c r="BA986" s="25"/>
      <c r="BB986" s="25"/>
      <c r="BC986" s="25"/>
      <c r="BD986" s="25"/>
      <c r="BE986" s="25"/>
      <c r="BF986" s="25"/>
      <c r="BG986" s="25"/>
      <c r="BH986" s="25"/>
      <c r="BI986" s="25"/>
      <c r="BJ986" s="25"/>
      <c r="BK986" s="25"/>
      <c r="BL986" s="25"/>
      <c r="BM986" s="25"/>
      <c r="BN986" s="25"/>
      <c r="BO986" s="25"/>
      <c r="BP986" s="25"/>
      <c r="BQ986" s="25"/>
      <c r="BR986" s="25"/>
      <c r="BS986" s="25"/>
      <c r="BT986" s="25"/>
      <c r="BU986" s="25"/>
      <c r="BV986" s="25"/>
      <c r="BW986" s="25"/>
      <c r="BX986" s="25"/>
      <c r="BY986" s="25"/>
      <c r="BZ986" s="25"/>
      <c r="CA986" s="25"/>
      <c r="CB986" s="25"/>
      <c r="CC986" s="25"/>
      <c r="CD986" s="25"/>
      <c r="CE986" s="25"/>
      <c r="CF986" s="26"/>
      <c r="CG986" s="4"/>
      <c r="CH986" s="37"/>
      <c r="CI986" s="37"/>
    </row>
    <row r="987" spans="1:87" ht="15" customHeight="1" x14ac:dyDescent="0.25">
      <c r="A987" s="31"/>
      <c r="B987" s="31"/>
      <c r="C987" s="31"/>
      <c r="D987" s="4"/>
      <c r="E987" s="24"/>
      <c r="F987" s="25"/>
      <c r="G987" s="25"/>
      <c r="H987" s="25"/>
      <c r="I987" s="25"/>
      <c r="J987" s="25"/>
      <c r="K987" s="25"/>
      <c r="L987" s="25"/>
      <c r="M987" s="25"/>
      <c r="N987" s="25"/>
      <c r="O987" s="25"/>
      <c r="P987" s="25"/>
      <c r="Q987" s="25"/>
      <c r="R987" s="25"/>
      <c r="S987" s="25"/>
      <c r="T987" s="25"/>
      <c r="U987" s="25"/>
      <c r="V987" s="25"/>
      <c r="W987" s="25"/>
      <c r="X987" s="25"/>
      <c r="Y987" s="25"/>
      <c r="Z987" s="25"/>
      <c r="AA987" s="25"/>
      <c r="AB987" s="25"/>
      <c r="AC987" s="25"/>
      <c r="AD987" s="25"/>
      <c r="AE987" s="25"/>
      <c r="AF987" s="25"/>
      <c r="AG987" s="25"/>
      <c r="AH987" s="25"/>
      <c r="AI987" s="25"/>
      <c r="AJ987" s="25"/>
      <c r="AK987" s="25"/>
      <c r="AL987" s="25"/>
      <c r="AM987" s="25"/>
      <c r="AN987" s="25"/>
      <c r="AO987" s="25"/>
      <c r="AP987" s="25"/>
      <c r="AQ987" s="25"/>
      <c r="AR987" s="25"/>
      <c r="AS987" s="25"/>
      <c r="AT987" s="25"/>
      <c r="AU987" s="25"/>
      <c r="AV987" s="25"/>
      <c r="AW987" s="25"/>
      <c r="AX987" s="25"/>
      <c r="AY987" s="25"/>
      <c r="AZ987" s="25"/>
      <c r="BA987" s="25"/>
      <c r="BB987" s="25"/>
      <c r="BC987" s="25"/>
      <c r="BD987" s="25"/>
      <c r="BE987" s="25"/>
      <c r="BF987" s="25"/>
      <c r="BG987" s="25"/>
      <c r="BH987" s="25"/>
      <c r="BI987" s="25"/>
      <c r="BJ987" s="25"/>
      <c r="BK987" s="25"/>
      <c r="BL987" s="25"/>
      <c r="BM987" s="25"/>
      <c r="BN987" s="25"/>
      <c r="BO987" s="25"/>
      <c r="BP987" s="25"/>
      <c r="BQ987" s="25"/>
      <c r="BR987" s="25"/>
      <c r="BS987" s="25"/>
      <c r="BT987" s="25"/>
      <c r="BU987" s="25"/>
      <c r="BV987" s="25"/>
      <c r="BW987" s="25"/>
      <c r="BX987" s="25"/>
      <c r="BY987" s="25"/>
      <c r="BZ987" s="25"/>
      <c r="CA987" s="25"/>
      <c r="CB987" s="25"/>
      <c r="CC987" s="25"/>
      <c r="CD987" s="25"/>
      <c r="CE987" s="25"/>
      <c r="CF987" s="26"/>
      <c r="CG987" s="4"/>
      <c r="CH987" s="37"/>
      <c r="CI987" s="37"/>
    </row>
    <row r="988" spans="1:87" ht="15" customHeight="1" x14ac:dyDescent="0.25">
      <c r="A988" s="31"/>
      <c r="B988" s="31"/>
      <c r="C988" s="31"/>
      <c r="D988" s="4"/>
      <c r="E988" s="24"/>
      <c r="F988" s="25"/>
      <c r="G988" s="25"/>
      <c r="H988" s="25"/>
      <c r="I988" s="25"/>
      <c r="J988" s="25"/>
      <c r="K988" s="25"/>
      <c r="L988" s="25"/>
      <c r="M988" s="25"/>
      <c r="N988" s="25"/>
      <c r="O988" s="25"/>
      <c r="P988" s="25"/>
      <c r="Q988" s="25"/>
      <c r="R988" s="25"/>
      <c r="S988" s="25"/>
      <c r="T988" s="25"/>
      <c r="U988" s="25"/>
      <c r="V988" s="25"/>
      <c r="W988" s="25"/>
      <c r="X988" s="25"/>
      <c r="Y988" s="25"/>
      <c r="Z988" s="25"/>
      <c r="AA988" s="25"/>
      <c r="AB988" s="25"/>
      <c r="AC988" s="25"/>
      <c r="AD988" s="25"/>
      <c r="AE988" s="25"/>
      <c r="AF988" s="25"/>
      <c r="AG988" s="25"/>
      <c r="AH988" s="25"/>
      <c r="AI988" s="25"/>
      <c r="AJ988" s="25"/>
      <c r="AK988" s="25"/>
      <c r="AL988" s="25"/>
      <c r="AM988" s="25"/>
      <c r="AN988" s="25"/>
      <c r="AO988" s="25"/>
      <c r="AP988" s="25"/>
      <c r="AQ988" s="25"/>
      <c r="AR988" s="25"/>
      <c r="AS988" s="25"/>
      <c r="AT988" s="25"/>
      <c r="AU988" s="25"/>
      <c r="AV988" s="25"/>
      <c r="AW988" s="25"/>
      <c r="AX988" s="25"/>
      <c r="AY988" s="25"/>
      <c r="AZ988" s="25"/>
      <c r="BA988" s="25"/>
      <c r="BB988" s="25"/>
      <c r="BC988" s="25"/>
      <c r="BD988" s="25"/>
      <c r="BE988" s="25"/>
      <c r="BF988" s="25"/>
      <c r="BG988" s="25"/>
      <c r="BH988" s="25"/>
      <c r="BI988" s="25"/>
      <c r="BJ988" s="25"/>
      <c r="BK988" s="25"/>
      <c r="BL988" s="25"/>
      <c r="BM988" s="25"/>
      <c r="BN988" s="25"/>
      <c r="BO988" s="25"/>
      <c r="BP988" s="25"/>
      <c r="BQ988" s="25"/>
      <c r="BR988" s="25"/>
      <c r="BS988" s="25"/>
      <c r="BT988" s="25"/>
      <c r="BU988" s="25"/>
      <c r="BV988" s="25"/>
      <c r="BW988" s="25"/>
      <c r="BX988" s="25"/>
      <c r="BY988" s="25"/>
      <c r="BZ988" s="25"/>
      <c r="CA988" s="25"/>
      <c r="CB988" s="25"/>
      <c r="CC988" s="25"/>
      <c r="CD988" s="25"/>
      <c r="CE988" s="25"/>
      <c r="CF988" s="26"/>
      <c r="CG988" s="4"/>
      <c r="CH988" s="37"/>
      <c r="CI988" s="37"/>
    </row>
    <row r="989" spans="1:87" ht="15" customHeight="1" x14ac:dyDescent="0.25">
      <c r="A989" s="31"/>
      <c r="B989" s="31"/>
      <c r="C989" s="31"/>
      <c r="D989" s="4"/>
      <c r="E989" s="24"/>
      <c r="F989" s="25"/>
      <c r="G989" s="25"/>
      <c r="H989" s="25"/>
      <c r="I989" s="25"/>
      <c r="J989" s="25"/>
      <c r="K989" s="25"/>
      <c r="L989" s="25"/>
      <c r="M989" s="25"/>
      <c r="N989" s="25"/>
      <c r="O989" s="25"/>
      <c r="P989" s="25"/>
      <c r="Q989" s="25"/>
      <c r="R989" s="25"/>
      <c r="S989" s="25"/>
      <c r="T989" s="25"/>
      <c r="U989" s="25"/>
      <c r="V989" s="25"/>
      <c r="W989" s="25"/>
      <c r="X989" s="25"/>
      <c r="Y989" s="25"/>
      <c r="Z989" s="25"/>
      <c r="AA989" s="25"/>
      <c r="AB989" s="25"/>
      <c r="AC989" s="25"/>
      <c r="AD989" s="25"/>
      <c r="AE989" s="25"/>
      <c r="AF989" s="25"/>
      <c r="AG989" s="25"/>
      <c r="AH989" s="25"/>
      <c r="AI989" s="25"/>
      <c r="AJ989" s="25"/>
      <c r="AK989" s="25"/>
      <c r="AL989" s="25"/>
      <c r="AM989" s="25"/>
      <c r="AN989" s="25"/>
      <c r="AO989" s="25"/>
      <c r="AP989" s="25"/>
      <c r="AQ989" s="25"/>
      <c r="AR989" s="25"/>
      <c r="AS989" s="25"/>
      <c r="AT989" s="25"/>
      <c r="AU989" s="25"/>
      <c r="AV989" s="25"/>
      <c r="AW989" s="25"/>
      <c r="AX989" s="25"/>
      <c r="AY989" s="25"/>
      <c r="AZ989" s="25"/>
      <c r="BA989" s="25"/>
      <c r="BB989" s="25"/>
      <c r="BC989" s="25"/>
      <c r="BD989" s="25"/>
      <c r="BE989" s="25"/>
      <c r="BF989" s="25"/>
      <c r="BG989" s="25"/>
      <c r="BH989" s="25"/>
      <c r="BI989" s="25"/>
      <c r="BJ989" s="25"/>
      <c r="BK989" s="25"/>
      <c r="BL989" s="25"/>
      <c r="BM989" s="25"/>
      <c r="BN989" s="25"/>
      <c r="BO989" s="25"/>
      <c r="BP989" s="25"/>
      <c r="BQ989" s="25"/>
      <c r="BR989" s="25"/>
      <c r="BS989" s="25"/>
      <c r="BT989" s="25"/>
      <c r="BU989" s="25"/>
      <c r="BV989" s="25"/>
      <c r="BW989" s="25"/>
      <c r="BX989" s="25"/>
      <c r="BY989" s="25"/>
      <c r="BZ989" s="25"/>
      <c r="CA989" s="25"/>
      <c r="CB989" s="25"/>
      <c r="CC989" s="25"/>
      <c r="CD989" s="25"/>
      <c r="CE989" s="25"/>
      <c r="CF989" s="26"/>
      <c r="CG989" s="4"/>
      <c r="CH989" s="37"/>
      <c r="CI989" s="37"/>
    </row>
    <row r="990" spans="1:87" ht="15" customHeight="1" x14ac:dyDescent="0.25">
      <c r="A990" s="31"/>
      <c r="B990" s="31"/>
      <c r="C990" s="31"/>
      <c r="D990" s="4"/>
      <c r="E990" s="24"/>
      <c r="F990" s="25"/>
      <c r="G990" s="25"/>
      <c r="H990" s="25"/>
      <c r="I990" s="25"/>
      <c r="J990" s="25"/>
      <c r="K990" s="25"/>
      <c r="L990" s="25"/>
      <c r="M990" s="25"/>
      <c r="N990" s="25"/>
      <c r="O990" s="25"/>
      <c r="P990" s="25"/>
      <c r="Q990" s="25"/>
      <c r="R990" s="25"/>
      <c r="S990" s="25"/>
      <c r="T990" s="25"/>
      <c r="U990" s="25"/>
      <c r="V990" s="25"/>
      <c r="W990" s="25"/>
      <c r="X990" s="25"/>
      <c r="Y990" s="25"/>
      <c r="Z990" s="25"/>
      <c r="AA990" s="25"/>
      <c r="AB990" s="25"/>
      <c r="AC990" s="25"/>
      <c r="AD990" s="25"/>
      <c r="AE990" s="25"/>
      <c r="AF990" s="25"/>
      <c r="AG990" s="25"/>
      <c r="AH990" s="25"/>
      <c r="AI990" s="25"/>
      <c r="AJ990" s="25"/>
      <c r="AK990" s="25"/>
      <c r="AL990" s="25"/>
      <c r="AM990" s="25"/>
      <c r="AN990" s="25"/>
      <c r="AO990" s="25"/>
      <c r="AP990" s="25"/>
      <c r="AQ990" s="25"/>
      <c r="AR990" s="25"/>
      <c r="AS990" s="25"/>
      <c r="AT990" s="25"/>
      <c r="AU990" s="25"/>
      <c r="AV990" s="25"/>
      <c r="AW990" s="25"/>
      <c r="AX990" s="25"/>
      <c r="AY990" s="25"/>
      <c r="AZ990" s="25"/>
      <c r="BA990" s="25"/>
      <c r="BB990" s="25"/>
      <c r="BC990" s="25"/>
      <c r="BD990" s="25"/>
      <c r="BE990" s="25"/>
      <c r="BF990" s="25"/>
      <c r="BG990" s="25"/>
      <c r="BH990" s="25"/>
      <c r="BI990" s="25"/>
      <c r="BJ990" s="25"/>
      <c r="BK990" s="25"/>
      <c r="BL990" s="25"/>
      <c r="BM990" s="25"/>
      <c r="BN990" s="25"/>
      <c r="BO990" s="25"/>
      <c r="BP990" s="25"/>
      <c r="BQ990" s="25"/>
      <c r="BR990" s="25"/>
      <c r="BS990" s="25"/>
      <c r="BT990" s="25"/>
      <c r="BU990" s="25"/>
      <c r="BV990" s="25"/>
      <c r="BW990" s="25"/>
      <c r="BX990" s="25"/>
      <c r="BY990" s="25"/>
      <c r="BZ990" s="25"/>
      <c r="CA990" s="25"/>
      <c r="CB990" s="25"/>
      <c r="CC990" s="25"/>
      <c r="CD990" s="25"/>
      <c r="CE990" s="25"/>
      <c r="CF990" s="26"/>
      <c r="CG990" s="4"/>
      <c r="CH990" s="37"/>
      <c r="CI990" s="37"/>
    </row>
    <row r="991" spans="1:87" ht="15" customHeight="1" x14ac:dyDescent="0.25">
      <c r="A991" s="31"/>
      <c r="B991" s="31"/>
      <c r="C991" s="31"/>
      <c r="D991" s="4"/>
      <c r="E991" s="24"/>
      <c r="F991" s="25"/>
      <c r="G991" s="25"/>
      <c r="H991" s="25"/>
      <c r="I991" s="25"/>
      <c r="J991" s="25"/>
      <c r="K991" s="25"/>
      <c r="L991" s="25"/>
      <c r="M991" s="25"/>
      <c r="N991" s="25"/>
      <c r="O991" s="25"/>
      <c r="P991" s="25"/>
      <c r="Q991" s="25"/>
      <c r="R991" s="25"/>
      <c r="S991" s="25"/>
      <c r="T991" s="25"/>
      <c r="U991" s="25"/>
      <c r="V991" s="25"/>
      <c r="W991" s="25"/>
      <c r="X991" s="25"/>
      <c r="Y991" s="25"/>
      <c r="Z991" s="25"/>
      <c r="AA991" s="25"/>
      <c r="AB991" s="25"/>
      <c r="AC991" s="25"/>
      <c r="AD991" s="25"/>
      <c r="AE991" s="25"/>
      <c r="AF991" s="25"/>
      <c r="AG991" s="25"/>
      <c r="AH991" s="25"/>
      <c r="AI991" s="25"/>
      <c r="AJ991" s="25"/>
      <c r="AK991" s="25"/>
      <c r="AL991" s="25"/>
      <c r="AM991" s="25"/>
      <c r="AN991" s="25"/>
      <c r="AO991" s="25"/>
      <c r="AP991" s="25"/>
      <c r="AQ991" s="25"/>
      <c r="AR991" s="25"/>
      <c r="AS991" s="25"/>
      <c r="AT991" s="25"/>
      <c r="AU991" s="25"/>
      <c r="AV991" s="25"/>
      <c r="AW991" s="25"/>
      <c r="AX991" s="25"/>
      <c r="AY991" s="25"/>
      <c r="AZ991" s="25"/>
      <c r="BA991" s="25"/>
      <c r="BB991" s="25"/>
      <c r="BC991" s="25"/>
      <c r="BD991" s="25"/>
      <c r="BE991" s="25"/>
      <c r="BF991" s="25"/>
      <c r="BG991" s="25"/>
      <c r="BH991" s="25"/>
      <c r="BI991" s="25"/>
      <c r="BJ991" s="25"/>
      <c r="BK991" s="25"/>
      <c r="BL991" s="25"/>
      <c r="BM991" s="25"/>
      <c r="BN991" s="25"/>
      <c r="BO991" s="25"/>
      <c r="BP991" s="25"/>
      <c r="BQ991" s="25"/>
      <c r="BR991" s="25"/>
      <c r="BS991" s="25"/>
      <c r="BT991" s="25"/>
      <c r="BU991" s="25"/>
      <c r="BV991" s="25"/>
      <c r="BW991" s="25"/>
      <c r="BX991" s="25"/>
      <c r="BY991" s="25"/>
      <c r="BZ991" s="25"/>
      <c r="CA991" s="25"/>
      <c r="CB991" s="25"/>
      <c r="CC991" s="25"/>
      <c r="CD991" s="25"/>
      <c r="CE991" s="25"/>
      <c r="CF991" s="26"/>
      <c r="CG991" s="4"/>
      <c r="CH991" s="37"/>
      <c r="CI991" s="37"/>
    </row>
    <row r="992" spans="1:87" ht="15" customHeight="1" x14ac:dyDescent="0.25">
      <c r="A992" s="31"/>
      <c r="B992" s="31"/>
      <c r="C992" s="31"/>
      <c r="D992" s="4"/>
      <c r="E992" s="24"/>
      <c r="F992" s="25"/>
      <c r="G992" s="25"/>
      <c r="H992" s="25"/>
      <c r="I992" s="25"/>
      <c r="J992" s="25"/>
      <c r="K992" s="25"/>
      <c r="L992" s="25"/>
      <c r="M992" s="25"/>
      <c r="N992" s="25"/>
      <c r="O992" s="25"/>
      <c r="P992" s="25"/>
      <c r="Q992" s="25"/>
      <c r="R992" s="25"/>
      <c r="S992" s="25"/>
      <c r="T992" s="25"/>
      <c r="U992" s="25"/>
      <c r="V992" s="25"/>
      <c r="W992" s="25"/>
      <c r="X992" s="25"/>
      <c r="Y992" s="25"/>
      <c r="Z992" s="25"/>
      <c r="AA992" s="25"/>
      <c r="AB992" s="25"/>
      <c r="AC992" s="25"/>
      <c r="AD992" s="25"/>
      <c r="AE992" s="25"/>
      <c r="AF992" s="25"/>
      <c r="AG992" s="25"/>
      <c r="AH992" s="25"/>
      <c r="AI992" s="25"/>
      <c r="AJ992" s="25"/>
      <c r="AK992" s="25"/>
      <c r="AL992" s="25"/>
      <c r="AM992" s="25"/>
      <c r="AN992" s="25"/>
      <c r="AO992" s="25"/>
      <c r="AP992" s="25"/>
      <c r="AQ992" s="25"/>
      <c r="AR992" s="25"/>
      <c r="AS992" s="25"/>
      <c r="AT992" s="25"/>
      <c r="AU992" s="25"/>
      <c r="AV992" s="25"/>
      <c r="AW992" s="25"/>
      <c r="AX992" s="25"/>
      <c r="AY992" s="25"/>
      <c r="AZ992" s="25"/>
      <c r="BA992" s="25"/>
      <c r="BB992" s="25"/>
      <c r="BC992" s="25"/>
      <c r="BD992" s="25"/>
      <c r="BE992" s="25"/>
      <c r="BF992" s="25"/>
      <c r="BG992" s="25"/>
      <c r="BH992" s="25"/>
      <c r="BI992" s="25"/>
      <c r="BJ992" s="25"/>
      <c r="BK992" s="25"/>
      <c r="BL992" s="25"/>
      <c r="BM992" s="25"/>
      <c r="BN992" s="25"/>
      <c r="BO992" s="25"/>
      <c r="BP992" s="25"/>
      <c r="BQ992" s="25"/>
      <c r="BR992" s="25"/>
      <c r="BS992" s="25"/>
      <c r="BT992" s="25"/>
      <c r="BU992" s="25"/>
      <c r="BV992" s="25"/>
      <c r="BW992" s="25"/>
      <c r="BX992" s="25"/>
      <c r="BY992" s="25"/>
      <c r="BZ992" s="25"/>
      <c r="CA992" s="25"/>
      <c r="CB992" s="25"/>
      <c r="CC992" s="25"/>
      <c r="CD992" s="25"/>
      <c r="CE992" s="25"/>
      <c r="CF992" s="26"/>
      <c r="CG992" s="4"/>
      <c r="CH992" s="37"/>
      <c r="CI992" s="37"/>
    </row>
    <row r="993" spans="1:117" ht="15" customHeight="1" x14ac:dyDescent="0.25">
      <c r="A993" s="31"/>
      <c r="B993" s="31"/>
      <c r="C993" s="31"/>
      <c r="D993" s="4"/>
      <c r="E993" s="24"/>
      <c r="F993" s="25"/>
      <c r="G993" s="25"/>
      <c r="H993" s="25"/>
      <c r="I993" s="25"/>
      <c r="J993" s="25"/>
      <c r="K993" s="25"/>
      <c r="L993" s="25"/>
      <c r="M993" s="25"/>
      <c r="N993" s="25"/>
      <c r="O993" s="25"/>
      <c r="P993" s="25"/>
      <c r="Q993" s="25"/>
      <c r="R993" s="25"/>
      <c r="S993" s="25"/>
      <c r="T993" s="25"/>
      <c r="U993" s="25"/>
      <c r="V993" s="25"/>
      <c r="W993" s="25"/>
      <c r="X993" s="25"/>
      <c r="Y993" s="25"/>
      <c r="Z993" s="25"/>
      <c r="AA993" s="25"/>
      <c r="AB993" s="25"/>
      <c r="AC993" s="25"/>
      <c r="AD993" s="25"/>
      <c r="AE993" s="25"/>
      <c r="AF993" s="25"/>
      <c r="AG993" s="25"/>
      <c r="AH993" s="25"/>
      <c r="AI993" s="25"/>
      <c r="AJ993" s="25"/>
      <c r="AK993" s="25"/>
      <c r="AL993" s="25"/>
      <c r="AM993" s="25"/>
      <c r="AN993" s="25"/>
      <c r="AO993" s="25"/>
      <c r="AP993" s="25"/>
      <c r="AQ993" s="25"/>
      <c r="AR993" s="25"/>
      <c r="AS993" s="25"/>
      <c r="AT993" s="25"/>
      <c r="AU993" s="25"/>
      <c r="AV993" s="25"/>
      <c r="AW993" s="25"/>
      <c r="AX993" s="25"/>
      <c r="AY993" s="25"/>
      <c r="AZ993" s="25"/>
      <c r="BA993" s="25"/>
      <c r="BB993" s="25"/>
      <c r="BC993" s="25"/>
      <c r="BD993" s="25"/>
      <c r="BE993" s="25"/>
      <c r="BF993" s="25"/>
      <c r="BG993" s="25"/>
      <c r="BH993" s="25"/>
      <c r="BI993" s="25"/>
      <c r="BJ993" s="25"/>
      <c r="BK993" s="25"/>
      <c r="BL993" s="25"/>
      <c r="BM993" s="25"/>
      <c r="BN993" s="25"/>
      <c r="BO993" s="25"/>
      <c r="BP993" s="25"/>
      <c r="BQ993" s="25"/>
      <c r="BR993" s="25"/>
      <c r="BS993" s="25"/>
      <c r="BT993" s="25"/>
      <c r="BU993" s="25"/>
      <c r="BV993" s="25"/>
      <c r="BW993" s="25"/>
      <c r="BX993" s="25"/>
      <c r="BY993" s="25"/>
      <c r="BZ993" s="25"/>
      <c r="CA993" s="25"/>
      <c r="CB993" s="25"/>
      <c r="CC993" s="25"/>
      <c r="CD993" s="25"/>
      <c r="CE993" s="25"/>
      <c r="CF993" s="26"/>
      <c r="CG993" s="4"/>
      <c r="CH993" s="37"/>
      <c r="CI993" s="37"/>
    </row>
    <row r="994" spans="1:117" ht="15" customHeight="1" x14ac:dyDescent="0.25">
      <c r="A994" s="31"/>
      <c r="B994" s="31"/>
      <c r="C994" s="31"/>
      <c r="D994" s="4"/>
      <c r="E994" s="24"/>
      <c r="F994" s="25"/>
      <c r="G994" s="25"/>
      <c r="H994" s="25"/>
      <c r="I994" s="25"/>
      <c r="J994" s="25"/>
      <c r="K994" s="25"/>
      <c r="L994" s="25"/>
      <c r="M994" s="25"/>
      <c r="N994" s="25"/>
      <c r="O994" s="25"/>
      <c r="P994" s="25"/>
      <c r="Q994" s="25"/>
      <c r="R994" s="25"/>
      <c r="S994" s="25"/>
      <c r="T994" s="25"/>
      <c r="U994" s="25"/>
      <c r="V994" s="25"/>
      <c r="W994" s="25"/>
      <c r="X994" s="25"/>
      <c r="Y994" s="25"/>
      <c r="Z994" s="25"/>
      <c r="AA994" s="25"/>
      <c r="AB994" s="25"/>
      <c r="AC994" s="25"/>
      <c r="AD994" s="25"/>
      <c r="AE994" s="25"/>
      <c r="AF994" s="25"/>
      <c r="AG994" s="25"/>
      <c r="AH994" s="25"/>
      <c r="AI994" s="25"/>
      <c r="AJ994" s="25"/>
      <c r="AK994" s="25"/>
      <c r="AL994" s="25"/>
      <c r="AM994" s="25"/>
      <c r="AN994" s="25"/>
      <c r="AO994" s="25"/>
      <c r="AP994" s="25"/>
      <c r="AQ994" s="25"/>
      <c r="AR994" s="25"/>
      <c r="AS994" s="25"/>
      <c r="AT994" s="25"/>
      <c r="AU994" s="25"/>
      <c r="AV994" s="25"/>
      <c r="AW994" s="25"/>
      <c r="AX994" s="25"/>
      <c r="AY994" s="25"/>
      <c r="AZ994" s="25"/>
      <c r="BA994" s="25"/>
      <c r="BB994" s="25"/>
      <c r="BC994" s="25"/>
      <c r="BD994" s="25"/>
      <c r="BE994" s="25"/>
      <c r="BF994" s="25"/>
      <c r="BG994" s="25"/>
      <c r="BH994" s="25"/>
      <c r="BI994" s="25"/>
      <c r="BJ994" s="25"/>
      <c r="BK994" s="25"/>
      <c r="BL994" s="25"/>
      <c r="BM994" s="25"/>
      <c r="BN994" s="25"/>
      <c r="BO994" s="25"/>
      <c r="BP994" s="25"/>
      <c r="BQ994" s="25"/>
      <c r="BR994" s="25"/>
      <c r="BS994" s="25"/>
      <c r="BT994" s="25"/>
      <c r="BU994" s="25"/>
      <c r="BV994" s="25"/>
      <c r="BW994" s="25"/>
      <c r="BX994" s="25"/>
      <c r="BY994" s="25"/>
      <c r="BZ994" s="25"/>
      <c r="CA994" s="25"/>
      <c r="CB994" s="25"/>
      <c r="CC994" s="25"/>
      <c r="CD994" s="25"/>
      <c r="CE994" s="25"/>
      <c r="CF994" s="26"/>
      <c r="CG994" s="4"/>
      <c r="CH994" s="37"/>
      <c r="CI994" s="37"/>
    </row>
    <row r="995" spans="1:117" ht="15" customHeight="1" x14ac:dyDescent="0.25">
      <c r="A995" s="31"/>
      <c r="B995" s="31"/>
      <c r="C995" s="31"/>
      <c r="D995" s="4"/>
      <c r="E995" s="24"/>
      <c r="F995" s="25"/>
      <c r="G995" s="25"/>
      <c r="H995" s="25"/>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5"/>
      <c r="AK995" s="25"/>
      <c r="AL995" s="25"/>
      <c r="AM995" s="25"/>
      <c r="AN995" s="25"/>
      <c r="AO995" s="25"/>
      <c r="AP995" s="25"/>
      <c r="AQ995" s="25"/>
      <c r="AR995" s="25"/>
      <c r="AS995" s="25"/>
      <c r="AT995" s="25"/>
      <c r="AU995" s="25"/>
      <c r="AV995" s="25"/>
      <c r="AW995" s="25"/>
      <c r="AX995" s="25"/>
      <c r="AY995" s="25"/>
      <c r="AZ995" s="25"/>
      <c r="BA995" s="25"/>
      <c r="BB995" s="25"/>
      <c r="BC995" s="25"/>
      <c r="BD995" s="25"/>
      <c r="BE995" s="25"/>
      <c r="BF995" s="25"/>
      <c r="BG995" s="25"/>
      <c r="BH995" s="25"/>
      <c r="BI995" s="25"/>
      <c r="BJ995" s="25"/>
      <c r="BK995" s="25"/>
      <c r="BL995" s="25"/>
      <c r="BM995" s="25"/>
      <c r="BN995" s="25"/>
      <c r="BO995" s="25"/>
      <c r="BP995" s="25"/>
      <c r="BQ995" s="25"/>
      <c r="BR995" s="25"/>
      <c r="BS995" s="25"/>
      <c r="BT995" s="25"/>
      <c r="BU995" s="25"/>
      <c r="BV995" s="25"/>
      <c r="BW995" s="25"/>
      <c r="BX995" s="25"/>
      <c r="BY995" s="25"/>
      <c r="BZ995" s="25"/>
      <c r="CA995" s="25"/>
      <c r="CB995" s="25"/>
      <c r="CC995" s="25"/>
      <c r="CD995" s="25"/>
      <c r="CE995" s="25"/>
      <c r="CF995" s="26"/>
      <c r="CG995" s="4"/>
      <c r="CH995" s="37"/>
      <c r="CI995" s="37"/>
    </row>
    <row r="996" spans="1:117" ht="15" customHeight="1" x14ac:dyDescent="0.25">
      <c r="A996" s="31"/>
      <c r="B996" s="31"/>
      <c r="C996" s="31"/>
      <c r="D996" s="4"/>
      <c r="E996" s="24"/>
      <c r="F996" s="25"/>
      <c r="G996" s="25"/>
      <c r="H996" s="25"/>
      <c r="I996" s="25"/>
      <c r="J996" s="25"/>
      <c r="K996" s="25"/>
      <c r="L996" s="25"/>
      <c r="M996" s="25"/>
      <c r="N996" s="25" t="s">
        <v>8</v>
      </c>
      <c r="O996" s="25"/>
      <c r="P996" s="25"/>
      <c r="Q996" s="25"/>
      <c r="R996" s="25"/>
      <c r="S996" s="25"/>
      <c r="T996" s="25"/>
      <c r="U996" s="25"/>
      <c r="V996" s="25"/>
      <c r="W996" s="25"/>
      <c r="X996" s="25"/>
      <c r="Y996" s="25"/>
      <c r="Z996" s="25"/>
      <c r="AA996" s="25" t="s">
        <v>9</v>
      </c>
      <c r="AB996" s="25"/>
      <c r="AC996" s="25"/>
      <c r="AD996" s="25"/>
      <c r="AE996" s="25"/>
      <c r="AF996" s="25"/>
      <c r="AG996" s="25"/>
      <c r="AH996" s="25"/>
      <c r="AI996" s="25"/>
      <c r="AJ996" s="25"/>
      <c r="AK996" s="25"/>
      <c r="AL996" s="25"/>
      <c r="AM996" s="25"/>
      <c r="AN996" s="25"/>
      <c r="AO996" s="25"/>
      <c r="AP996" s="25"/>
      <c r="AQ996" s="25"/>
      <c r="AR996" s="25"/>
      <c r="AS996" s="25"/>
      <c r="AT996" s="25"/>
      <c r="AU996" s="25"/>
      <c r="AV996" s="25"/>
      <c r="AW996" s="25"/>
      <c r="AX996" s="25"/>
      <c r="AY996" s="25"/>
      <c r="AZ996" s="25"/>
      <c r="BA996" s="25"/>
      <c r="BB996" s="25"/>
      <c r="BC996" s="25"/>
      <c r="BD996" s="25"/>
      <c r="BE996" s="25"/>
      <c r="BF996" s="25"/>
      <c r="BG996" s="25"/>
      <c r="BH996" s="25"/>
      <c r="BI996" s="25"/>
      <c r="BJ996" s="25"/>
      <c r="BK996" s="25"/>
      <c r="BL996" s="25"/>
      <c r="BM996" s="25"/>
      <c r="BN996" s="25"/>
      <c r="BO996" s="25"/>
      <c r="BP996" s="25"/>
      <c r="BQ996" s="25"/>
      <c r="BR996" s="25"/>
      <c r="BS996" s="25"/>
      <c r="BT996" s="25"/>
      <c r="BU996" s="25"/>
      <c r="BV996" s="25"/>
      <c r="BW996" s="25"/>
      <c r="BX996" s="25"/>
      <c r="BY996" s="25"/>
      <c r="BZ996" s="25"/>
      <c r="CA996" s="25"/>
      <c r="CB996" s="25"/>
      <c r="CC996" s="25"/>
      <c r="CD996" s="25"/>
      <c r="CE996" s="25"/>
      <c r="CF996" s="26"/>
      <c r="CG996" s="4"/>
      <c r="CH996" s="37"/>
      <c r="CI996" s="37"/>
    </row>
    <row r="997" spans="1:117" ht="15" customHeight="1" x14ac:dyDescent="0.25">
      <c r="A997" s="31"/>
      <c r="B997" s="31"/>
      <c r="C997" s="31"/>
      <c r="D997" s="4"/>
      <c r="E997" s="24"/>
      <c r="F997" s="25"/>
      <c r="G997" s="25"/>
      <c r="H997" s="25"/>
      <c r="I997" s="25"/>
      <c r="J997" s="25"/>
      <c r="K997" s="25"/>
      <c r="L997" s="25"/>
      <c r="M997" s="25"/>
      <c r="N997" s="25"/>
      <c r="O997" s="25"/>
      <c r="P997" s="25"/>
      <c r="Q997" s="25"/>
      <c r="R997" s="25"/>
      <c r="S997" s="25"/>
      <c r="T997" s="25"/>
      <c r="U997" s="25"/>
      <c r="V997" s="25"/>
      <c r="W997" s="25"/>
      <c r="X997" s="25"/>
      <c r="Y997" s="25"/>
      <c r="Z997" s="25"/>
      <c r="AA997" s="25"/>
      <c r="AB997" s="25"/>
      <c r="AC997" s="25"/>
      <c r="AD997" s="25"/>
      <c r="AE997" s="25"/>
      <c r="AF997" s="25"/>
      <c r="AG997" s="25"/>
      <c r="AH997" s="25"/>
      <c r="AI997" s="25"/>
      <c r="AJ997" s="25"/>
      <c r="AK997" s="25"/>
      <c r="AL997" s="25"/>
      <c r="AM997" s="25"/>
      <c r="AN997" s="25"/>
      <c r="AO997" s="25"/>
      <c r="AP997" s="25"/>
      <c r="AQ997" s="25"/>
      <c r="AR997" s="25"/>
      <c r="AS997" s="25"/>
      <c r="AT997" s="25"/>
      <c r="AU997" s="25"/>
      <c r="AV997" s="25"/>
      <c r="AW997" s="25"/>
      <c r="AX997" s="25"/>
      <c r="AY997" s="25"/>
      <c r="AZ997" s="25"/>
      <c r="BA997" s="25"/>
      <c r="BB997" s="25"/>
      <c r="BC997" s="25"/>
      <c r="BD997" s="25"/>
      <c r="BE997" s="25"/>
      <c r="BF997" s="25"/>
      <c r="BG997" s="25"/>
      <c r="BH997" s="25"/>
      <c r="BI997" s="25"/>
      <c r="BJ997" s="25"/>
      <c r="BK997" s="25"/>
      <c r="BL997" s="25"/>
      <c r="BM997" s="25"/>
      <c r="BN997" s="25"/>
      <c r="BO997" s="25"/>
      <c r="BP997" s="25"/>
      <c r="BQ997" s="25"/>
      <c r="BR997" s="25"/>
      <c r="BS997" s="25"/>
      <c r="BT997" s="25"/>
      <c r="BU997" s="25"/>
      <c r="BV997" s="25"/>
      <c r="BW997" s="25"/>
      <c r="BX997" s="25"/>
      <c r="BY997" s="25"/>
      <c r="BZ997" s="25"/>
      <c r="CA997" s="25"/>
      <c r="CB997" s="25"/>
      <c r="CC997" s="25"/>
      <c r="CD997" s="25"/>
      <c r="CE997" s="25"/>
      <c r="CF997" s="26"/>
      <c r="CG997" s="4"/>
      <c r="CH997" s="37"/>
      <c r="CI997" s="37"/>
    </row>
    <row r="998" spans="1:117" ht="15" customHeight="1" x14ac:dyDescent="0.25">
      <c r="A998" s="31"/>
      <c r="B998" s="31"/>
      <c r="C998" s="31"/>
      <c r="D998" s="4"/>
      <c r="E998" s="24"/>
      <c r="F998" s="25"/>
      <c r="G998" s="25"/>
      <c r="H998" s="25"/>
      <c r="I998" s="25"/>
      <c r="J998" s="25"/>
      <c r="K998" s="25"/>
      <c r="L998" s="25"/>
      <c r="M998" s="25"/>
      <c r="N998" s="25"/>
      <c r="O998" s="25"/>
      <c r="P998" s="25"/>
      <c r="Q998" s="25"/>
      <c r="R998" s="25"/>
      <c r="S998" s="25"/>
      <c r="T998" s="25"/>
      <c r="U998" s="25"/>
      <c r="V998" s="25"/>
      <c r="W998" s="25"/>
      <c r="X998" s="25"/>
      <c r="Y998" s="25"/>
      <c r="Z998" s="25"/>
      <c r="AA998" s="25"/>
      <c r="AB998" s="25"/>
      <c r="AC998" s="25"/>
      <c r="AD998" s="25"/>
      <c r="AE998" s="25"/>
      <c r="AF998" s="25"/>
      <c r="AG998" s="25"/>
      <c r="AH998" s="25"/>
      <c r="AI998" s="25"/>
      <c r="AJ998" s="25"/>
      <c r="AK998" s="25"/>
      <c r="AL998" s="25"/>
      <c r="AM998" s="25"/>
      <c r="AN998" s="25"/>
      <c r="AO998" s="25"/>
      <c r="AP998" s="25"/>
      <c r="AQ998" s="25"/>
      <c r="AR998" s="25"/>
      <c r="AS998" s="25"/>
      <c r="AT998" s="25"/>
      <c r="AU998" s="25"/>
      <c r="AV998" s="25"/>
      <c r="AW998" s="25"/>
      <c r="AX998" s="25"/>
      <c r="AY998" s="25"/>
      <c r="AZ998" s="25"/>
      <c r="BA998" s="25"/>
      <c r="BB998" s="25"/>
      <c r="BC998" s="25"/>
      <c r="BD998" s="25"/>
      <c r="BE998" s="25"/>
      <c r="BF998" s="25"/>
      <c r="BG998" s="25"/>
      <c r="BH998" s="25"/>
      <c r="BI998" s="25"/>
      <c r="BJ998" s="25"/>
      <c r="BK998" s="25"/>
      <c r="BL998" s="25"/>
      <c r="BM998" s="25"/>
      <c r="BN998" s="25"/>
      <c r="BO998" s="25"/>
      <c r="BP998" s="25"/>
      <c r="BQ998" s="25"/>
      <c r="BR998" s="25"/>
      <c r="BS998" s="25"/>
      <c r="BT998" s="25"/>
      <c r="BU998" s="25"/>
      <c r="BV998" s="25"/>
      <c r="BW998" s="25"/>
      <c r="BX998" s="25"/>
      <c r="BY998" s="25"/>
      <c r="BZ998" s="25"/>
      <c r="CA998" s="25"/>
      <c r="CB998" s="25"/>
      <c r="CC998" s="25"/>
      <c r="CD998" s="25"/>
      <c r="CE998" s="25"/>
      <c r="CF998" s="26"/>
      <c r="CG998" s="4"/>
      <c r="CH998" s="37"/>
      <c r="CI998" s="37"/>
    </row>
    <row r="999" spans="1:117" ht="15" customHeight="1" x14ac:dyDescent="0.25">
      <c r="A999" s="31"/>
      <c r="B999" s="31"/>
      <c r="C999" s="31"/>
      <c r="D999" s="4"/>
      <c r="E999" s="24"/>
      <c r="F999" s="27"/>
      <c r="G999" s="25"/>
      <c r="H999" s="25"/>
      <c r="I999" s="25"/>
      <c r="J999" s="25"/>
      <c r="K999" s="25"/>
      <c r="L999" s="25"/>
      <c r="M999" s="25"/>
      <c r="N999" s="25"/>
      <c r="O999" s="25"/>
      <c r="P999" s="25"/>
      <c r="Q999" s="25"/>
      <c r="R999" s="25"/>
      <c r="S999" s="25"/>
      <c r="T999" s="25"/>
      <c r="U999" s="25"/>
      <c r="V999" s="25"/>
      <c r="W999" s="25"/>
      <c r="X999" s="25"/>
      <c r="Y999" s="25"/>
      <c r="Z999" s="25"/>
      <c r="AA999" s="25"/>
      <c r="AB999" s="25"/>
      <c r="AC999" s="25"/>
      <c r="AD999" s="25"/>
      <c r="AE999" s="25"/>
      <c r="AF999" s="25"/>
      <c r="AG999" s="25"/>
      <c r="AH999" s="25"/>
      <c r="AI999" s="25"/>
      <c r="AJ999" s="25"/>
      <c r="AK999" s="25"/>
      <c r="AL999" s="25"/>
      <c r="AM999" s="25"/>
      <c r="AN999" s="25"/>
      <c r="AO999" s="25"/>
      <c r="AP999" s="25"/>
      <c r="AQ999" s="25"/>
      <c r="AR999" s="25"/>
      <c r="AS999" s="25"/>
      <c r="AT999" s="25"/>
      <c r="AU999" s="25"/>
      <c r="AV999" s="25"/>
      <c r="AW999" s="25"/>
      <c r="AX999" s="25"/>
      <c r="AY999" s="25"/>
      <c r="AZ999" s="25"/>
      <c r="BA999" s="25"/>
      <c r="BB999" s="25"/>
      <c r="BC999" s="25"/>
      <c r="BD999" s="25"/>
      <c r="BE999" s="25"/>
      <c r="BF999" s="25"/>
      <c r="BG999" s="25"/>
      <c r="BH999" s="25"/>
      <c r="BI999" s="25"/>
      <c r="BJ999" s="25"/>
      <c r="BK999" s="25"/>
      <c r="BL999" s="25"/>
      <c r="BM999" s="25"/>
      <c r="BN999" s="25"/>
      <c r="BO999" s="25"/>
      <c r="BP999" s="25"/>
      <c r="BQ999" s="25"/>
      <c r="BR999" s="25"/>
      <c r="BS999" s="25"/>
      <c r="BT999" s="25"/>
      <c r="BU999" s="25"/>
      <c r="BV999" s="25"/>
      <c r="BW999" s="25"/>
      <c r="BX999" s="25"/>
      <c r="BY999" s="25"/>
      <c r="BZ999" s="25"/>
      <c r="CA999" s="25"/>
      <c r="CB999" s="25"/>
      <c r="CC999" s="25"/>
      <c r="CD999" s="25"/>
      <c r="CE999" s="25"/>
      <c r="CF999" s="26"/>
      <c r="CG999" s="4"/>
      <c r="CH999" s="37"/>
      <c r="CI999" s="37"/>
    </row>
    <row r="1000" spans="1:117" ht="15" customHeight="1" x14ac:dyDescent="0.25">
      <c r="A1000" s="31"/>
      <c r="B1000" s="31"/>
      <c r="C1000" s="31"/>
      <c r="D1000" s="4"/>
      <c r="E1000" s="24"/>
      <c r="F1000" s="25"/>
      <c r="G1000" s="25"/>
      <c r="H1000" s="25"/>
      <c r="I1000" s="25"/>
      <c r="J1000" s="25"/>
      <c r="K1000" s="25"/>
      <c r="L1000" s="25"/>
      <c r="M1000" s="25"/>
      <c r="N1000" s="25"/>
      <c r="O1000" s="25"/>
      <c r="P1000" s="25"/>
      <c r="Q1000" s="25"/>
      <c r="R1000" s="25"/>
      <c r="S1000" s="25"/>
      <c r="T1000" s="25"/>
      <c r="U1000" s="25"/>
      <c r="V1000" s="25"/>
      <c r="W1000" s="25"/>
      <c r="X1000" s="25"/>
      <c r="Y1000" s="25"/>
      <c r="Z1000" s="25"/>
      <c r="AA1000" s="25"/>
      <c r="AB1000" s="25"/>
      <c r="AC1000" s="25"/>
      <c r="AD1000" s="25"/>
      <c r="AE1000" s="25"/>
      <c r="AF1000" s="25"/>
      <c r="AG1000" s="25"/>
      <c r="AH1000" s="25"/>
      <c r="AI1000" s="25"/>
      <c r="AJ1000" s="25"/>
      <c r="AK1000" s="25"/>
      <c r="AL1000" s="25"/>
      <c r="AM1000" s="25"/>
      <c r="AN1000" s="25"/>
      <c r="AO1000" s="25"/>
      <c r="AP1000" s="25"/>
      <c r="AQ1000" s="25"/>
      <c r="AR1000" s="25"/>
      <c r="AS1000" s="25"/>
      <c r="AT1000" s="25"/>
      <c r="AU1000" s="25"/>
      <c r="AV1000" s="25"/>
      <c r="AW1000" s="25"/>
      <c r="AX1000" s="25"/>
      <c r="AY1000" s="25"/>
      <c r="AZ1000" s="25"/>
      <c r="BA1000" s="25"/>
      <c r="BB1000" s="25"/>
      <c r="BC1000" s="25"/>
      <c r="BD1000" s="25"/>
      <c r="BE1000" s="25"/>
      <c r="BF1000" s="25"/>
      <c r="BG1000" s="25"/>
      <c r="BH1000" s="25"/>
      <c r="BI1000" s="25"/>
      <c r="BJ1000" s="25"/>
      <c r="BK1000" s="25"/>
      <c r="BL1000" s="25"/>
      <c r="BM1000" s="25"/>
      <c r="BN1000" s="25"/>
      <c r="BO1000" s="25"/>
      <c r="BP1000" s="25"/>
      <c r="BQ1000" s="25"/>
      <c r="BR1000" s="25"/>
      <c r="BS1000" s="25"/>
      <c r="BT1000" s="25"/>
      <c r="BU1000" s="25"/>
      <c r="BV1000" s="25"/>
      <c r="BW1000" s="25"/>
      <c r="BX1000" s="25"/>
      <c r="BY1000" s="25"/>
      <c r="BZ1000" s="25"/>
      <c r="CA1000" s="25"/>
      <c r="CB1000" s="25"/>
      <c r="CC1000" s="25"/>
      <c r="CD1000" s="25"/>
      <c r="CE1000" s="25"/>
      <c r="CF1000" s="26"/>
      <c r="CG1000" s="4"/>
      <c r="CH1000" s="37"/>
      <c r="CI1000" s="37"/>
    </row>
    <row r="1001" spans="1:117" ht="15" customHeight="1" x14ac:dyDescent="0.25">
      <c r="A1001" s="31"/>
      <c r="B1001" s="31"/>
      <c r="C1001" s="31"/>
      <c r="D1001" s="4"/>
      <c r="E1001" s="28"/>
      <c r="F1001" s="29"/>
      <c r="G1001" s="29"/>
      <c r="H1001" s="29"/>
      <c r="I1001" s="29"/>
      <c r="J1001" s="29"/>
      <c r="K1001" s="29"/>
      <c r="L1001" s="29"/>
      <c r="M1001" s="29"/>
      <c r="N1001" s="29"/>
      <c r="O1001" s="29"/>
      <c r="P1001" s="29"/>
      <c r="Q1001" s="29"/>
      <c r="R1001" s="29"/>
      <c r="S1001" s="29"/>
      <c r="T1001" s="29"/>
      <c r="U1001" s="29"/>
      <c r="V1001" s="29"/>
      <c r="W1001" s="29"/>
      <c r="X1001" s="29"/>
      <c r="Y1001" s="29"/>
      <c r="Z1001" s="29"/>
      <c r="AA1001" s="29"/>
      <c r="AB1001" s="29"/>
      <c r="AC1001" s="29"/>
      <c r="AD1001" s="29"/>
      <c r="AE1001" s="29"/>
      <c r="AF1001" s="29"/>
      <c r="AG1001" s="29"/>
      <c r="AH1001" s="29"/>
      <c r="AI1001" s="29"/>
      <c r="AJ1001" s="29"/>
      <c r="AK1001" s="29"/>
      <c r="AL1001" s="29"/>
      <c r="AM1001" s="29"/>
      <c r="AN1001" s="29"/>
      <c r="AO1001" s="29"/>
      <c r="AP1001" s="29"/>
      <c r="AQ1001" s="29"/>
      <c r="AR1001" s="29"/>
      <c r="AS1001" s="29"/>
      <c r="AT1001" s="29"/>
      <c r="AU1001" s="29"/>
      <c r="AV1001" s="29"/>
      <c r="AW1001" s="29"/>
      <c r="AX1001" s="29"/>
      <c r="AY1001" s="29"/>
      <c r="AZ1001" s="29"/>
      <c r="BA1001" s="29"/>
      <c r="BB1001" s="29"/>
      <c r="BC1001" s="29"/>
      <c r="BD1001" s="29"/>
      <c r="BE1001" s="29"/>
      <c r="BF1001" s="29"/>
      <c r="BG1001" s="29"/>
      <c r="BH1001" s="29"/>
      <c r="BI1001" s="29"/>
      <c r="BJ1001" s="29"/>
      <c r="BK1001" s="29"/>
      <c r="BL1001" s="29"/>
      <c r="BM1001" s="29"/>
      <c r="BN1001" s="29"/>
      <c r="BO1001" s="29"/>
      <c r="BP1001" s="29"/>
      <c r="BQ1001" s="29"/>
      <c r="BR1001" s="29"/>
      <c r="BS1001" s="29"/>
      <c r="BT1001" s="29"/>
      <c r="BU1001" s="29"/>
      <c r="BV1001" s="29"/>
      <c r="BW1001" s="29"/>
      <c r="BX1001" s="29"/>
      <c r="BY1001" s="29"/>
      <c r="BZ1001" s="29"/>
      <c r="CA1001" s="29"/>
      <c r="CB1001" s="29"/>
      <c r="CC1001" s="29"/>
      <c r="CD1001" s="29"/>
      <c r="CE1001" s="29"/>
      <c r="CF1001" s="30"/>
      <c r="CG1001" s="4"/>
      <c r="CH1001" s="37"/>
      <c r="CI1001" s="37"/>
    </row>
    <row r="1002" spans="1:117" s="7" customFormat="1" ht="15" customHeight="1" x14ac:dyDescent="0.25">
      <c r="A1002" s="33"/>
      <c r="B1002" s="33"/>
      <c r="C1002" s="33"/>
      <c r="D1002" s="5"/>
      <c r="E1002" s="5"/>
      <c r="F1002" s="5"/>
      <c r="G1002" s="5"/>
      <c r="H1002" s="5"/>
      <c r="I1002" s="5"/>
      <c r="J1002" s="5"/>
      <c r="K1002" s="5"/>
      <c r="L1002" s="5"/>
      <c r="M1002" s="5"/>
      <c r="N1002" s="5"/>
      <c r="O1002" s="5"/>
      <c r="P1002" s="5"/>
      <c r="Q1002" s="5"/>
      <c r="R1002" s="5"/>
      <c r="S1002" s="5"/>
      <c r="T1002" s="5"/>
      <c r="U1002" s="5"/>
      <c r="V1002" s="5"/>
      <c r="W1002" s="5"/>
      <c r="X1002" s="5"/>
      <c r="Y1002" s="5"/>
      <c r="Z1002" s="5"/>
      <c r="AA1002" s="5"/>
      <c r="AB1002" s="5"/>
      <c r="AC1002" s="5"/>
      <c r="AD1002" s="5"/>
      <c r="AE1002" s="5"/>
      <c r="AF1002" s="5"/>
      <c r="AG1002" s="5"/>
      <c r="AH1002" s="5"/>
      <c r="AI1002" s="5"/>
      <c r="AJ1002" s="5"/>
      <c r="AK1002" s="5"/>
      <c r="AL1002" s="5"/>
      <c r="AM1002" s="5"/>
      <c r="AN1002" s="5"/>
      <c r="AO1002" s="5"/>
      <c r="AP1002" s="5"/>
      <c r="AQ1002" s="5"/>
      <c r="AR1002" s="5"/>
      <c r="AS1002" s="5"/>
      <c r="AT1002" s="5"/>
      <c r="AU1002" s="5"/>
      <c r="AV1002" s="5"/>
      <c r="AW1002" s="5"/>
      <c r="AX1002" s="5"/>
      <c r="AY1002" s="5"/>
      <c r="AZ1002" s="5"/>
      <c r="BA1002" s="5"/>
      <c r="BB1002" s="5"/>
      <c r="BC1002" s="5"/>
      <c r="BD1002" s="5"/>
      <c r="BE1002" s="5"/>
      <c r="BF1002" s="5"/>
      <c r="BG1002" s="5"/>
      <c r="BH1002" s="5"/>
      <c r="BI1002" s="5"/>
      <c r="BJ1002" s="5"/>
      <c r="BK1002" s="5"/>
      <c r="BL1002" s="5"/>
      <c r="BM1002" s="5"/>
      <c r="BN1002" s="5"/>
      <c r="BO1002" s="5"/>
      <c r="BP1002" s="5"/>
      <c r="BQ1002" s="5"/>
      <c r="BR1002" s="5"/>
      <c r="BS1002" s="5"/>
      <c r="BT1002" s="5"/>
      <c r="BU1002" s="5"/>
      <c r="BV1002" s="5"/>
      <c r="BW1002" s="5"/>
      <c r="BX1002" s="5"/>
      <c r="BY1002" s="5"/>
      <c r="BZ1002" s="5"/>
      <c r="CA1002" s="5"/>
      <c r="CB1002" s="5"/>
      <c r="CC1002" s="5"/>
      <c r="CD1002" s="5"/>
      <c r="CE1002" s="5"/>
      <c r="CF1002" s="5"/>
      <c r="CG1002" s="5"/>
      <c r="CH1002" s="37"/>
      <c r="CI1002" s="37"/>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row>
    <row r="1003" spans="1:117" ht="15" customHeight="1" x14ac:dyDescent="0.25">
      <c r="A1003" s="31"/>
      <c r="B1003" s="31"/>
      <c r="C1003" s="31"/>
      <c r="D1003" s="31"/>
      <c r="E1003" s="31"/>
      <c r="F1003" s="31"/>
      <c r="G1003" s="31"/>
      <c r="H1003" s="31"/>
      <c r="I1003" s="31"/>
      <c r="J1003" s="31"/>
      <c r="K1003" s="31"/>
      <c r="L1003" s="31"/>
      <c r="M1003" s="31"/>
      <c r="N1003" s="31"/>
      <c r="O1003" s="31"/>
      <c r="P1003" s="31"/>
      <c r="Q1003" s="31"/>
      <c r="R1003" s="31"/>
      <c r="S1003" s="31"/>
      <c r="T1003" s="31"/>
      <c r="U1003" s="31"/>
      <c r="V1003" s="31"/>
      <c r="W1003" s="31"/>
      <c r="X1003" s="31"/>
      <c r="Y1003" s="31"/>
      <c r="Z1003" s="31"/>
      <c r="AA1003" s="31"/>
      <c r="AB1003" s="31"/>
      <c r="AC1003" s="31"/>
      <c r="AD1003" s="31"/>
      <c r="AE1003" s="31"/>
      <c r="AF1003" s="31"/>
      <c r="AG1003" s="31"/>
      <c r="AH1003" s="31"/>
      <c r="AI1003" s="31"/>
      <c r="AJ1003" s="31"/>
      <c r="AK1003" s="31"/>
      <c r="AL1003" s="31"/>
      <c r="AM1003" s="31"/>
      <c r="AN1003" s="31"/>
      <c r="AO1003" s="31"/>
      <c r="AP1003" s="31"/>
      <c r="AQ1003" s="31"/>
      <c r="AR1003" s="31"/>
      <c r="AS1003" s="31"/>
      <c r="AT1003" s="31"/>
      <c r="AU1003" s="31"/>
      <c r="AV1003" s="31"/>
      <c r="AW1003" s="31"/>
      <c r="AX1003" s="31"/>
      <c r="AY1003" s="31"/>
      <c r="AZ1003" s="31"/>
      <c r="BA1003" s="31"/>
      <c r="BB1003" s="31"/>
      <c r="BC1003" s="31"/>
      <c r="BD1003" s="31"/>
      <c r="BE1003" s="31"/>
      <c r="BF1003" s="31"/>
      <c r="BG1003" s="31"/>
      <c r="BH1003" s="31"/>
      <c r="BI1003" s="31"/>
      <c r="BJ1003" s="31"/>
      <c r="BK1003" s="31"/>
      <c r="BL1003" s="31"/>
      <c r="BM1003" s="31"/>
      <c r="BN1003" s="31"/>
      <c r="BO1003" s="31"/>
      <c r="BP1003" s="31"/>
      <c r="BQ1003" s="31"/>
      <c r="BR1003" s="31"/>
      <c r="BS1003" s="31"/>
      <c r="BT1003" s="31"/>
      <c r="BU1003" s="31"/>
      <c r="BV1003" s="31"/>
      <c r="BW1003" s="31"/>
      <c r="BX1003" s="31"/>
      <c r="BY1003" s="31"/>
      <c r="BZ1003" s="31"/>
      <c r="CA1003" s="31"/>
      <c r="CB1003" s="31"/>
      <c r="CC1003" s="31"/>
      <c r="CD1003" s="31"/>
      <c r="CE1003" s="31"/>
      <c r="CF1003" s="31"/>
      <c r="CG1003" s="31"/>
      <c r="CH1003" s="37"/>
      <c r="CI1003" s="37"/>
    </row>
    <row r="1004" spans="1:117" ht="15" customHeight="1" x14ac:dyDescent="0.25">
      <c r="A1004" s="31"/>
      <c r="B1004" s="31"/>
      <c r="C1004" s="31"/>
      <c r="D1004" s="31"/>
      <c r="E1004" s="31"/>
      <c r="F1004" s="31"/>
      <c r="G1004" s="31"/>
      <c r="H1004" s="31"/>
      <c r="I1004" s="31"/>
      <c r="J1004" s="31"/>
      <c r="K1004" s="31"/>
      <c r="L1004" s="31"/>
      <c r="M1004" s="31"/>
      <c r="N1004" s="31"/>
      <c r="O1004" s="31"/>
      <c r="P1004" s="31"/>
      <c r="Q1004" s="31"/>
      <c r="R1004" s="31"/>
      <c r="S1004" s="31"/>
      <c r="T1004" s="31"/>
      <c r="U1004" s="31"/>
      <c r="V1004" s="31"/>
      <c r="W1004" s="31"/>
      <c r="X1004" s="31"/>
      <c r="Y1004" s="31"/>
      <c r="Z1004" s="31"/>
      <c r="AA1004" s="31"/>
      <c r="AB1004" s="31"/>
      <c r="AC1004" s="31"/>
      <c r="AD1004" s="31"/>
      <c r="AE1004" s="31"/>
      <c r="AF1004" s="31"/>
      <c r="AG1004" s="31"/>
      <c r="AH1004" s="31"/>
      <c r="AI1004" s="31"/>
      <c r="AJ1004" s="31"/>
      <c r="AK1004" s="31"/>
      <c r="AL1004" s="31"/>
      <c r="AM1004" s="31"/>
      <c r="AN1004" s="31"/>
      <c r="AO1004" s="31"/>
      <c r="AP1004" s="31"/>
      <c r="AQ1004" s="31"/>
      <c r="AR1004" s="31"/>
      <c r="AS1004" s="31"/>
      <c r="AT1004" s="31"/>
      <c r="AU1004" s="31"/>
      <c r="AV1004" s="31"/>
      <c r="AW1004" s="31"/>
      <c r="AX1004" s="31"/>
      <c r="AY1004" s="31"/>
      <c r="AZ1004" s="31"/>
      <c r="BA1004" s="31"/>
      <c r="BB1004" s="31"/>
      <c r="BC1004" s="31"/>
      <c r="BD1004" s="31"/>
      <c r="BE1004" s="31"/>
      <c r="BF1004" s="31"/>
      <c r="BG1004" s="31"/>
      <c r="BH1004" s="31"/>
      <c r="BI1004" s="31"/>
      <c r="BJ1004" s="31"/>
      <c r="BK1004" s="31"/>
      <c r="BL1004" s="31"/>
      <c r="BM1004" s="31"/>
      <c r="BN1004" s="31"/>
      <c r="BO1004" s="31"/>
      <c r="BP1004" s="31"/>
      <c r="BQ1004" s="31"/>
      <c r="BR1004" s="31"/>
      <c r="BS1004" s="31"/>
      <c r="BT1004" s="31"/>
      <c r="BU1004" s="31"/>
      <c r="BV1004" s="31"/>
      <c r="BW1004" s="31"/>
      <c r="BX1004" s="31"/>
      <c r="BY1004" s="31"/>
      <c r="BZ1004" s="31"/>
      <c r="CA1004" s="31"/>
      <c r="CB1004" s="31"/>
      <c r="CC1004" s="31"/>
      <c r="CD1004" s="31"/>
      <c r="CE1004" s="31"/>
      <c r="CF1004" s="31"/>
      <c r="CG1004" s="31"/>
      <c r="CH1004" s="37"/>
      <c r="CI1004" s="37"/>
    </row>
  </sheetData>
  <sheetProtection algorithmName="SHA-512" hashValue="tpnii4/bIfqJtvp/6oIfzwN2rxwjQmu417uzubt3maE0NZCx92mJW62wN9yhfFOORxmAHNrQ+5GydpaP46a/eA==" saltValue="6+Hy2ahOzPyxrGgRNBz1wA==" spinCount="100000" sheet="1" objects="1" scenarios="1" selectLockedCells="1"/>
  <mergeCells count="1">
    <mergeCell ref="B4:B20"/>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T88"/>
  <sheetViews>
    <sheetView workbookViewId="0">
      <selection activeCell="R2" sqref="R2:R3"/>
    </sheetView>
  </sheetViews>
  <sheetFormatPr defaultRowHeight="15" x14ac:dyDescent="0.25"/>
  <cols>
    <col min="1" max="1" width="1.7109375" customWidth="1"/>
    <col min="2" max="2" width="10.7109375" customWidth="1"/>
    <col min="3" max="3" width="5.7109375" customWidth="1"/>
    <col min="4" max="10" width="10.7109375" customWidth="1"/>
    <col min="11" max="11" width="5.7109375" customWidth="1"/>
    <col min="12" max="14" width="10.7109375" customWidth="1"/>
    <col min="15" max="15" width="5.7109375" customWidth="1"/>
    <col min="16" max="16" width="10.7109375" customWidth="1"/>
    <col min="17" max="17" width="1.7109375" customWidth="1"/>
  </cols>
  <sheetData>
    <row r="1" spans="2:20" s="11" customFormat="1" x14ac:dyDescent="0.25"/>
    <row r="2" spans="2:20" s="11" customFormat="1" ht="15" customHeight="1" x14ac:dyDescent="0.25">
      <c r="B2" s="152"/>
      <c r="C2" s="153"/>
      <c r="D2" s="16" t="s">
        <v>67</v>
      </c>
      <c r="E2" s="16" t="s">
        <v>68</v>
      </c>
      <c r="F2" s="16" t="s">
        <v>69</v>
      </c>
      <c r="G2" s="16" t="s">
        <v>93</v>
      </c>
      <c r="H2" s="16" t="s">
        <v>70</v>
      </c>
      <c r="I2" s="16" t="s">
        <v>71</v>
      </c>
      <c r="J2" s="12"/>
      <c r="K2" s="145" t="s">
        <v>78</v>
      </c>
      <c r="L2" s="145"/>
      <c r="M2" s="145"/>
      <c r="N2" s="145"/>
      <c r="O2" s="145"/>
      <c r="P2" s="145"/>
      <c r="R2" s="139"/>
      <c r="S2" s="18"/>
      <c r="T2" s="137" t="s">
        <v>89</v>
      </c>
    </row>
    <row r="3" spans="2:20" s="11" customFormat="1" x14ac:dyDescent="0.25">
      <c r="B3" s="151" t="s">
        <v>59</v>
      </c>
      <c r="C3" s="147"/>
      <c r="D3" s="17">
        <v>1</v>
      </c>
      <c r="E3" s="17">
        <v>1</v>
      </c>
      <c r="F3" s="17">
        <v>2.2999999999999998</v>
      </c>
      <c r="G3" s="17">
        <v>1.7</v>
      </c>
      <c r="H3" s="17">
        <v>2.1</v>
      </c>
      <c r="I3" s="17">
        <v>1.1000000000000001</v>
      </c>
      <c r="J3" s="12"/>
      <c r="K3" s="145"/>
      <c r="L3" s="145"/>
      <c r="M3" s="145"/>
      <c r="N3" s="145"/>
      <c r="O3" s="145"/>
      <c r="P3" s="145"/>
      <c r="R3" s="140"/>
      <c r="S3" s="19"/>
      <c r="T3" s="138"/>
    </row>
    <row r="4" spans="2:20" s="11" customFormat="1" x14ac:dyDescent="0.25">
      <c r="B4" s="143" t="s">
        <v>60</v>
      </c>
      <c r="C4" s="147"/>
      <c r="D4" s="17"/>
      <c r="E4" s="17"/>
      <c r="F4" s="17">
        <v>2.7999999523162842</v>
      </c>
      <c r="G4" s="17">
        <v>3.7000000476837158</v>
      </c>
      <c r="H4" s="17">
        <v>3.4000000953674316</v>
      </c>
      <c r="I4" s="17">
        <v>2.2000000476837158</v>
      </c>
      <c r="J4" s="12"/>
      <c r="K4" s="13"/>
      <c r="R4" s="20"/>
      <c r="S4" s="19"/>
      <c r="T4" s="138"/>
    </row>
    <row r="5" spans="2:20" s="11" customFormat="1" x14ac:dyDescent="0.25">
      <c r="B5" s="143" t="s">
        <v>74</v>
      </c>
      <c r="C5" s="147"/>
      <c r="D5" s="17">
        <v>10</v>
      </c>
      <c r="E5" s="17"/>
      <c r="F5" s="17">
        <v>10</v>
      </c>
      <c r="G5" s="17"/>
      <c r="H5" s="17"/>
      <c r="I5" s="17"/>
      <c r="J5" s="12"/>
      <c r="K5" s="146" t="s">
        <v>105</v>
      </c>
      <c r="L5" s="146"/>
      <c r="M5" s="146"/>
      <c r="N5" s="146"/>
      <c r="O5" s="146"/>
      <c r="P5" s="146"/>
      <c r="R5" s="139"/>
      <c r="S5" s="19"/>
      <c r="T5" s="138"/>
    </row>
    <row r="6" spans="2:20" s="11" customFormat="1" x14ac:dyDescent="0.25">
      <c r="B6" s="143" t="s">
        <v>75</v>
      </c>
      <c r="C6" s="147"/>
      <c r="D6" s="17"/>
      <c r="E6" s="17"/>
      <c r="F6" s="17">
        <v>2</v>
      </c>
      <c r="G6" s="17"/>
      <c r="H6" s="17"/>
      <c r="I6" s="17">
        <v>2</v>
      </c>
      <c r="J6" s="12"/>
      <c r="K6" s="146"/>
      <c r="L6" s="146"/>
      <c r="M6" s="146"/>
      <c r="N6" s="146"/>
      <c r="O6" s="146"/>
      <c r="P6" s="146"/>
      <c r="R6" s="140"/>
      <c r="S6" s="19"/>
      <c r="T6" s="138"/>
    </row>
    <row r="7" spans="2:20" s="11" customFormat="1" x14ac:dyDescent="0.25">
      <c r="B7" s="143" t="s">
        <v>59</v>
      </c>
      <c r="C7" s="144"/>
      <c r="D7" s="17">
        <v>2.4</v>
      </c>
      <c r="E7" s="17"/>
      <c r="F7" s="17">
        <v>1.8</v>
      </c>
      <c r="G7" s="17"/>
      <c r="H7" s="17"/>
      <c r="I7" s="17">
        <v>0.7</v>
      </c>
      <c r="J7" s="12"/>
      <c r="K7" s="13"/>
      <c r="R7" s="20"/>
      <c r="S7" s="19"/>
      <c r="T7" s="138"/>
    </row>
    <row r="8" spans="2:20" s="11" customFormat="1" x14ac:dyDescent="0.25">
      <c r="B8" s="151" t="s">
        <v>60</v>
      </c>
      <c r="C8" s="147"/>
      <c r="D8" s="17">
        <v>4</v>
      </c>
      <c r="E8" s="17"/>
      <c r="F8" s="17"/>
      <c r="G8" s="17">
        <v>3.5</v>
      </c>
      <c r="H8" s="17"/>
      <c r="I8" s="17"/>
      <c r="J8" s="12"/>
      <c r="K8" s="146" t="s">
        <v>80</v>
      </c>
      <c r="L8" s="146"/>
      <c r="M8" s="146"/>
      <c r="N8" s="146"/>
      <c r="O8" s="146"/>
      <c r="P8" s="146"/>
      <c r="R8" s="141"/>
      <c r="S8" s="19"/>
      <c r="T8" s="138"/>
    </row>
    <row r="9" spans="2:20" s="11" customFormat="1" x14ac:dyDescent="0.25">
      <c r="B9" s="151" t="s">
        <v>59</v>
      </c>
      <c r="C9" s="147"/>
      <c r="D9" s="17"/>
      <c r="E9" s="17">
        <v>2.4</v>
      </c>
      <c r="F9" s="17"/>
      <c r="G9" s="17"/>
      <c r="H9" s="17">
        <v>2.2000000000000002</v>
      </c>
      <c r="I9" s="17">
        <v>2.2999999999999998</v>
      </c>
      <c r="J9" s="12"/>
      <c r="K9" s="146"/>
      <c r="L9" s="146"/>
      <c r="M9" s="146"/>
      <c r="N9" s="146"/>
      <c r="O9" s="146"/>
      <c r="P9" s="146"/>
      <c r="R9" s="142"/>
      <c r="S9" s="19"/>
      <c r="T9" s="138"/>
    </row>
    <row r="10" spans="2:20" s="11" customFormat="1" x14ac:dyDescent="0.25">
      <c r="B10" s="143" t="s">
        <v>75</v>
      </c>
      <c r="C10" s="147"/>
      <c r="D10" s="17">
        <v>1</v>
      </c>
      <c r="E10" s="17"/>
      <c r="F10" s="17"/>
      <c r="G10" s="17">
        <v>1</v>
      </c>
      <c r="H10" s="17"/>
      <c r="I10" s="17">
        <v>2</v>
      </c>
      <c r="J10" s="12"/>
      <c r="K10" s="13"/>
      <c r="R10" s="20"/>
      <c r="S10" s="19"/>
      <c r="T10" s="138"/>
    </row>
    <row r="11" spans="2:20" s="11" customFormat="1" x14ac:dyDescent="0.25">
      <c r="B11" s="143" t="s">
        <v>76</v>
      </c>
      <c r="C11" s="147"/>
      <c r="D11" s="17"/>
      <c r="E11" s="17">
        <v>2.7</v>
      </c>
      <c r="F11" s="17"/>
      <c r="G11" s="17">
        <v>2.2000000000000002</v>
      </c>
      <c r="H11" s="17"/>
      <c r="I11" s="17"/>
      <c r="J11" s="12"/>
      <c r="K11" s="150" t="s">
        <v>106</v>
      </c>
      <c r="L11" s="150"/>
      <c r="M11" s="150"/>
      <c r="N11" s="150"/>
      <c r="O11" s="150"/>
      <c r="P11" s="150"/>
      <c r="R11" s="141"/>
      <c r="S11" s="61"/>
      <c r="T11" s="62"/>
    </row>
    <row r="12" spans="2:20" s="11" customFormat="1" x14ac:dyDescent="0.25">
      <c r="B12" s="143" t="s">
        <v>60</v>
      </c>
      <c r="C12" s="147"/>
      <c r="D12" s="17"/>
      <c r="E12" s="17"/>
      <c r="F12" s="17"/>
      <c r="G12" s="17"/>
      <c r="H12" s="17">
        <v>5.5</v>
      </c>
      <c r="I12" s="17">
        <v>5.8000001907348633</v>
      </c>
      <c r="J12" s="12"/>
      <c r="K12" s="150"/>
      <c r="L12" s="150"/>
      <c r="M12" s="150"/>
      <c r="N12" s="150"/>
      <c r="O12" s="150"/>
      <c r="P12" s="150"/>
      <c r="R12" s="142"/>
      <c r="S12" s="61"/>
      <c r="T12" s="62"/>
    </row>
    <row r="13" spans="2:20" s="11" customFormat="1" x14ac:dyDescent="0.25">
      <c r="B13" s="143" t="s">
        <v>59</v>
      </c>
      <c r="C13" s="147"/>
      <c r="D13" s="17"/>
      <c r="E13" s="17"/>
      <c r="F13" s="17">
        <v>1.9</v>
      </c>
      <c r="G13" s="17"/>
      <c r="H13" s="17">
        <v>1.7</v>
      </c>
      <c r="I13" s="17">
        <v>1.7</v>
      </c>
      <c r="J13" s="12"/>
      <c r="K13" s="13"/>
      <c r="R13" s="20"/>
      <c r="S13" s="61"/>
      <c r="T13" s="62"/>
    </row>
    <row r="14" spans="2:20" s="11" customFormat="1" ht="15" customHeight="1" x14ac:dyDescent="0.25">
      <c r="B14" s="148" t="s">
        <v>77</v>
      </c>
      <c r="C14" s="149"/>
      <c r="D14" s="21">
        <v>44.299999237060547</v>
      </c>
      <c r="E14" s="21">
        <v>21.399999618530273</v>
      </c>
      <c r="F14" s="21"/>
      <c r="G14" s="21">
        <v>2.7000000476837158</v>
      </c>
      <c r="H14" s="21">
        <v>77.599998474121094</v>
      </c>
      <c r="I14" s="21"/>
      <c r="J14" s="12"/>
      <c r="K14" s="146" t="s">
        <v>81</v>
      </c>
      <c r="L14" s="146"/>
      <c r="M14" s="146"/>
      <c r="N14" s="146"/>
      <c r="O14" s="146"/>
      <c r="P14" s="146"/>
      <c r="R14" s="139"/>
      <c r="S14" s="61"/>
      <c r="T14" s="62"/>
    </row>
    <row r="15" spans="2:20" s="11" customFormat="1" x14ac:dyDescent="0.25">
      <c r="J15" s="12"/>
      <c r="K15" s="146"/>
      <c r="L15" s="146"/>
      <c r="M15" s="146"/>
      <c r="N15" s="146"/>
      <c r="O15" s="146"/>
      <c r="P15" s="146"/>
      <c r="R15" s="140"/>
      <c r="S15" s="63"/>
      <c r="T15" s="64"/>
    </row>
    <row r="16" spans="2:20" s="11" customFormat="1" x14ac:dyDescent="0.25">
      <c r="B16" s="146" t="s">
        <v>94</v>
      </c>
      <c r="C16" s="146"/>
      <c r="D16" s="146"/>
      <c r="E16" s="146"/>
      <c r="F16" s="146"/>
      <c r="G16" s="146"/>
      <c r="H16" s="146"/>
      <c r="I16" s="146"/>
      <c r="J16" s="12"/>
      <c r="K16" s="14"/>
      <c r="L16" s="15"/>
      <c r="M16" s="15"/>
      <c r="N16" s="15"/>
      <c r="O16" s="15"/>
      <c r="P16" s="15"/>
      <c r="T16" s="65"/>
    </row>
    <row r="17" spans="2:20" s="11" customFormat="1" ht="15" customHeight="1" x14ac:dyDescent="0.25">
      <c r="B17" s="146"/>
      <c r="C17" s="146"/>
      <c r="D17" s="146"/>
      <c r="E17" s="146"/>
      <c r="F17" s="146"/>
      <c r="G17" s="146"/>
      <c r="H17" s="146"/>
      <c r="I17" s="146"/>
      <c r="J17" s="12"/>
      <c r="K17" s="145" t="s">
        <v>79</v>
      </c>
      <c r="L17" s="145"/>
      <c r="M17" s="145"/>
      <c r="N17" s="145"/>
      <c r="O17" s="145"/>
      <c r="P17" s="145"/>
      <c r="T17" s="65"/>
    </row>
    <row r="18" spans="2:20" s="11" customFormat="1" x14ac:dyDescent="0.25">
      <c r="B18" s="146"/>
      <c r="C18" s="146"/>
      <c r="D18" s="146"/>
      <c r="E18" s="146"/>
      <c r="F18" s="146"/>
      <c r="G18" s="146"/>
      <c r="H18" s="146"/>
      <c r="I18" s="146"/>
      <c r="J18" s="12"/>
      <c r="K18" s="145"/>
      <c r="L18" s="145"/>
      <c r="M18" s="145"/>
      <c r="N18" s="145"/>
      <c r="O18" s="145"/>
      <c r="P18" s="145"/>
      <c r="T18" s="65"/>
    </row>
    <row r="19" spans="2:20" s="11" customFormat="1" x14ac:dyDescent="0.25">
      <c r="B19" s="146"/>
      <c r="C19" s="146"/>
      <c r="D19" s="146"/>
      <c r="E19" s="146"/>
      <c r="F19" s="146"/>
      <c r="G19" s="146"/>
      <c r="H19" s="146"/>
      <c r="I19" s="146"/>
      <c r="J19" s="12"/>
      <c r="K19" s="145"/>
      <c r="L19" s="145"/>
      <c r="M19" s="145"/>
      <c r="N19" s="145"/>
      <c r="O19" s="145"/>
      <c r="P19" s="145"/>
      <c r="T19" s="65"/>
    </row>
    <row r="20" spans="2:20" s="11" customFormat="1" x14ac:dyDescent="0.25">
      <c r="B20" s="146"/>
      <c r="C20" s="146"/>
      <c r="D20" s="146"/>
      <c r="E20" s="146"/>
      <c r="F20" s="146"/>
      <c r="G20" s="146"/>
      <c r="H20" s="146"/>
      <c r="I20" s="146"/>
      <c r="J20" s="12"/>
      <c r="K20" s="145"/>
      <c r="L20" s="145"/>
      <c r="M20" s="145"/>
      <c r="N20" s="145"/>
      <c r="O20" s="145"/>
      <c r="P20" s="145"/>
      <c r="T20" s="65"/>
    </row>
    <row r="21" spans="2:20" s="11" customFormat="1" x14ac:dyDescent="0.25">
      <c r="J21" s="12"/>
      <c r="T21" s="65"/>
    </row>
    <row r="22" spans="2:20" s="11" customFormat="1" x14ac:dyDescent="0.25">
      <c r="J22" s="12"/>
      <c r="T22" s="65"/>
    </row>
    <row r="23" spans="2:20" s="11" customFormat="1" x14ac:dyDescent="0.25"/>
    <row r="24" spans="2:20" s="11" customFormat="1" x14ac:dyDescent="0.25"/>
    <row r="25" spans="2:20" s="11" customFormat="1" x14ac:dyDescent="0.25"/>
    <row r="26" spans="2:20" s="11" customFormat="1" x14ac:dyDescent="0.25"/>
    <row r="27" spans="2:20" s="11" customFormat="1" x14ac:dyDescent="0.25"/>
    <row r="28" spans="2:20" s="11" customFormat="1" x14ac:dyDescent="0.25"/>
    <row r="29" spans="2:20" s="11" customFormat="1" x14ac:dyDescent="0.25"/>
    <row r="30" spans="2:20" s="11" customFormat="1" x14ac:dyDescent="0.25"/>
    <row r="31" spans="2:20" s="11" customFormat="1" x14ac:dyDescent="0.25"/>
    <row r="32" spans="2:20" s="11" customFormat="1" x14ac:dyDescent="0.25"/>
    <row r="33" s="11" customFormat="1" x14ac:dyDescent="0.25"/>
    <row r="34" s="11" customFormat="1" x14ac:dyDescent="0.25"/>
    <row r="35" s="11" customFormat="1" x14ac:dyDescent="0.25"/>
    <row r="36" s="11" customFormat="1" x14ac:dyDescent="0.25"/>
    <row r="37" s="11" customFormat="1" x14ac:dyDescent="0.25"/>
    <row r="38" s="11" customFormat="1" x14ac:dyDescent="0.25"/>
    <row r="39" s="11" customFormat="1" x14ac:dyDescent="0.25"/>
    <row r="40" s="11" customFormat="1" x14ac:dyDescent="0.25"/>
    <row r="41" s="11" customFormat="1" x14ac:dyDescent="0.25"/>
    <row r="42" s="11" customFormat="1" x14ac:dyDescent="0.25"/>
    <row r="43" s="11" customFormat="1" x14ac:dyDescent="0.25"/>
    <row r="44" s="11" customFormat="1" x14ac:dyDescent="0.25"/>
    <row r="45" s="11" customFormat="1" x14ac:dyDescent="0.25"/>
    <row r="46" s="11" customFormat="1" x14ac:dyDescent="0.25"/>
    <row r="47" s="11" customFormat="1" x14ac:dyDescent="0.25"/>
    <row r="48" s="11" customFormat="1" x14ac:dyDescent="0.25"/>
    <row r="49" s="11" customFormat="1" x14ac:dyDescent="0.25"/>
    <row r="50" s="11" customFormat="1" x14ac:dyDescent="0.25"/>
    <row r="51" s="11" customFormat="1" x14ac:dyDescent="0.25"/>
    <row r="52" s="11" customFormat="1" x14ac:dyDescent="0.25"/>
    <row r="53" s="11" customFormat="1" x14ac:dyDescent="0.25"/>
    <row r="54" s="11" customFormat="1" x14ac:dyDescent="0.25"/>
    <row r="55" s="11" customFormat="1" x14ac:dyDescent="0.25"/>
    <row r="56" s="11" customFormat="1" x14ac:dyDescent="0.25"/>
    <row r="57" s="11" customFormat="1" x14ac:dyDescent="0.25"/>
    <row r="58" s="11" customFormat="1" x14ac:dyDescent="0.25"/>
    <row r="59" s="11" customFormat="1" x14ac:dyDescent="0.25"/>
    <row r="60" s="11" customFormat="1" x14ac:dyDescent="0.25"/>
    <row r="61" s="11" customFormat="1" x14ac:dyDescent="0.25"/>
    <row r="62" s="11" customFormat="1" x14ac:dyDescent="0.25"/>
    <row r="63" s="11" customFormat="1" x14ac:dyDescent="0.25"/>
    <row r="64" s="11" customFormat="1" x14ac:dyDescent="0.25"/>
    <row r="65" s="11" customFormat="1" x14ac:dyDescent="0.25"/>
    <row r="66" s="11" customFormat="1" x14ac:dyDescent="0.25"/>
    <row r="67" s="11" customFormat="1" x14ac:dyDescent="0.25"/>
    <row r="68" s="11" customFormat="1" x14ac:dyDescent="0.25"/>
    <row r="69" s="11" customFormat="1" x14ac:dyDescent="0.25"/>
    <row r="70" s="11" customFormat="1" x14ac:dyDescent="0.25"/>
    <row r="71" s="11" customFormat="1" x14ac:dyDescent="0.25"/>
    <row r="72" s="11" customFormat="1" x14ac:dyDescent="0.25"/>
    <row r="73" s="11" customFormat="1" x14ac:dyDescent="0.25"/>
    <row r="74" s="11" customFormat="1" x14ac:dyDescent="0.25"/>
    <row r="75" s="11" customFormat="1" x14ac:dyDescent="0.25"/>
    <row r="76" s="11" customFormat="1" x14ac:dyDescent="0.25"/>
    <row r="77" s="11" customFormat="1" x14ac:dyDescent="0.25"/>
    <row r="78" s="11" customFormat="1" x14ac:dyDescent="0.25"/>
    <row r="79" s="11" customFormat="1" x14ac:dyDescent="0.25"/>
    <row r="80" s="11" customFormat="1" x14ac:dyDescent="0.25"/>
    <row r="81" s="11" customFormat="1" x14ac:dyDescent="0.25"/>
    <row r="82" s="11" customFormat="1" x14ac:dyDescent="0.25"/>
    <row r="83" s="11" customFormat="1" x14ac:dyDescent="0.25"/>
    <row r="84" s="11" customFormat="1" x14ac:dyDescent="0.25"/>
    <row r="85" s="11" customFormat="1" x14ac:dyDescent="0.25"/>
    <row r="86" s="11" customFormat="1" x14ac:dyDescent="0.25"/>
    <row r="87" s="11" customFormat="1" x14ac:dyDescent="0.25"/>
    <row r="88" s="11" customFormat="1" x14ac:dyDescent="0.25"/>
  </sheetData>
  <sheetProtection algorithmName="SHA-512" hashValue="Fy4U5FEjydIe300/v/hay5fPNfkjR6hghENcDm2DexQC7b/Pmw6UBLw3hxSR965aFHW3iOBJNjZ5caNO7oIDbQ==" saltValue="5NNZSTfFIO0uetm8BnWa5A==" spinCount="100000" sheet="1" objects="1" scenarios="1" selectLockedCells="1"/>
  <mergeCells count="26">
    <mergeCell ref="K5:P6"/>
    <mergeCell ref="K2:P3"/>
    <mergeCell ref="B3:C3"/>
    <mergeCell ref="B4:C4"/>
    <mergeCell ref="B5:C5"/>
    <mergeCell ref="B6:C6"/>
    <mergeCell ref="B2:C2"/>
    <mergeCell ref="B7:C7"/>
    <mergeCell ref="R14:R15"/>
    <mergeCell ref="K17:P20"/>
    <mergeCell ref="B16:I20"/>
    <mergeCell ref="B13:C13"/>
    <mergeCell ref="B14:C14"/>
    <mergeCell ref="K8:P9"/>
    <mergeCell ref="K11:P12"/>
    <mergeCell ref="K14:P15"/>
    <mergeCell ref="B9:C9"/>
    <mergeCell ref="B10:C10"/>
    <mergeCell ref="B11:C11"/>
    <mergeCell ref="B12:C12"/>
    <mergeCell ref="B8:C8"/>
    <mergeCell ref="T2:T10"/>
    <mergeCell ref="R2:R3"/>
    <mergeCell ref="R5:R6"/>
    <mergeCell ref="R8:R9"/>
    <mergeCell ref="R11:R12"/>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R31"/>
  <sheetViews>
    <sheetView workbookViewId="0">
      <selection activeCell="BU10" sqref="BU10"/>
    </sheetView>
  </sheetViews>
  <sheetFormatPr defaultColWidth="1.7109375" defaultRowHeight="9.9499999999999993" customHeight="1" x14ac:dyDescent="0.25"/>
  <cols>
    <col min="53" max="53" width="1.7109375" style="94"/>
    <col min="54" max="56" width="1.7109375" style="95"/>
    <col min="57" max="57" width="2" style="95" bestFit="1" customWidth="1"/>
    <col min="58" max="93" width="1.7109375" style="95"/>
    <col min="94" max="94" width="1.7109375" style="96"/>
    <col min="96" max="96" width="1.7109375" style="51"/>
  </cols>
  <sheetData>
    <row r="1" spans="1:94" ht="9.9499999999999993" customHeight="1" x14ac:dyDescent="0.25">
      <c r="A1" s="9"/>
      <c r="B1" s="9"/>
      <c r="C1" s="9"/>
      <c r="D1" s="9"/>
      <c r="E1" s="9"/>
      <c r="F1" s="9"/>
      <c r="G1" s="9"/>
      <c r="H1" s="9"/>
      <c r="I1" s="9"/>
      <c r="J1" s="9"/>
      <c r="K1" s="9"/>
      <c r="L1" s="9"/>
      <c r="M1" s="9"/>
      <c r="N1" s="9"/>
      <c r="O1" s="9"/>
      <c r="P1" s="9"/>
      <c r="Q1" s="9"/>
      <c r="R1" s="9"/>
      <c r="BA1" s="91"/>
      <c r="BB1" s="92"/>
      <c r="BC1" s="92"/>
      <c r="BD1" s="92"/>
      <c r="BE1" s="92"/>
      <c r="BF1" s="92"/>
      <c r="BG1" s="92"/>
      <c r="BH1" s="92"/>
      <c r="BI1" s="92"/>
      <c r="BJ1" s="92"/>
      <c r="BK1" s="92"/>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3"/>
    </row>
    <row r="2" spans="1:94" ht="9.9499999999999993" customHeight="1" x14ac:dyDescent="0.25">
      <c r="A2" s="9"/>
      <c r="B2" s="154" t="s">
        <v>90</v>
      </c>
      <c r="C2" s="154"/>
      <c r="D2" s="154"/>
      <c r="E2" s="154"/>
      <c r="F2" s="154"/>
      <c r="G2" s="154"/>
      <c r="H2" s="154"/>
      <c r="I2" s="154"/>
      <c r="J2" s="154"/>
      <c r="K2" s="154"/>
      <c r="L2" s="154"/>
      <c r="M2" s="154"/>
      <c r="N2" s="154"/>
      <c r="O2" s="154"/>
      <c r="P2" s="154"/>
      <c r="Q2" s="154"/>
      <c r="R2" s="154"/>
      <c r="S2" s="154"/>
      <c r="BA2" s="91"/>
      <c r="BB2" s="92"/>
      <c r="BC2" s="92">
        <v>1</v>
      </c>
      <c r="BD2" s="92">
        <v>1</v>
      </c>
      <c r="BE2" s="92"/>
      <c r="BF2" s="92"/>
      <c r="BG2" s="92">
        <v>1</v>
      </c>
      <c r="BH2" s="92"/>
      <c r="BI2" s="92"/>
      <c r="BJ2" s="92"/>
      <c r="BK2" s="92">
        <v>1</v>
      </c>
      <c r="BL2" s="92"/>
      <c r="BM2" s="92"/>
      <c r="BN2" s="92">
        <v>1</v>
      </c>
      <c r="BO2" s="92">
        <v>1</v>
      </c>
      <c r="BP2" s="92"/>
      <c r="BQ2" s="92"/>
      <c r="BR2" s="92">
        <v>1</v>
      </c>
      <c r="BS2" s="92"/>
      <c r="BT2" s="92">
        <v>1</v>
      </c>
      <c r="BU2" s="92"/>
      <c r="BV2" s="92"/>
      <c r="BW2" s="92"/>
      <c r="BX2" s="92"/>
      <c r="BY2" s="92"/>
      <c r="BZ2" s="92">
        <v>1</v>
      </c>
      <c r="CA2" s="92"/>
      <c r="CB2" s="92">
        <v>1</v>
      </c>
      <c r="CC2" s="92"/>
      <c r="CD2" s="92">
        <v>1</v>
      </c>
      <c r="CE2" s="92">
        <v>1</v>
      </c>
      <c r="CF2" s="92">
        <v>1</v>
      </c>
      <c r="CG2" s="92"/>
      <c r="CH2" s="92">
        <v>1</v>
      </c>
      <c r="CI2" s="92">
        <v>1</v>
      </c>
      <c r="CJ2" s="92">
        <v>1</v>
      </c>
      <c r="CK2" s="92"/>
      <c r="CL2" s="92"/>
      <c r="CM2" s="92">
        <v>1</v>
      </c>
      <c r="CN2" s="92">
        <v>1</v>
      </c>
      <c r="CO2" s="92">
        <v>1</v>
      </c>
      <c r="CP2" s="93"/>
    </row>
    <row r="3" spans="1:94" ht="9.9499999999999993" customHeight="1" x14ac:dyDescent="0.25">
      <c r="A3" s="9"/>
      <c r="B3" s="154"/>
      <c r="C3" s="154"/>
      <c r="D3" s="154"/>
      <c r="E3" s="154"/>
      <c r="F3" s="154"/>
      <c r="G3" s="154"/>
      <c r="H3" s="154"/>
      <c r="I3" s="154"/>
      <c r="J3" s="154"/>
      <c r="K3" s="154"/>
      <c r="L3" s="154"/>
      <c r="M3" s="154"/>
      <c r="N3" s="154"/>
      <c r="O3" s="154"/>
      <c r="P3" s="154"/>
      <c r="Q3" s="154"/>
      <c r="R3" s="154"/>
      <c r="S3" s="154"/>
      <c r="BA3" s="91"/>
      <c r="BB3" s="92">
        <v>1</v>
      </c>
      <c r="BC3" s="92"/>
      <c r="BD3" s="92"/>
      <c r="BE3" s="92">
        <v>1</v>
      </c>
      <c r="BF3" s="92"/>
      <c r="BG3" s="92">
        <v>1</v>
      </c>
      <c r="BH3" s="92"/>
      <c r="BI3" s="92"/>
      <c r="BJ3" s="92"/>
      <c r="BK3" s="92">
        <v>1</v>
      </c>
      <c r="BL3" s="92"/>
      <c r="BM3" s="92">
        <v>1</v>
      </c>
      <c r="BN3" s="92"/>
      <c r="BO3" s="92"/>
      <c r="BP3" s="92">
        <v>1</v>
      </c>
      <c r="BQ3" s="92"/>
      <c r="BR3" s="92">
        <v>1</v>
      </c>
      <c r="BS3" s="92"/>
      <c r="BT3" s="92">
        <v>1</v>
      </c>
      <c r="BU3" s="92"/>
      <c r="BV3" s="92"/>
      <c r="BW3" s="92"/>
      <c r="BX3" s="92"/>
      <c r="BY3" s="92"/>
      <c r="BZ3" s="92">
        <v>1</v>
      </c>
      <c r="CA3" s="92"/>
      <c r="CB3" s="92">
        <v>1</v>
      </c>
      <c r="CC3" s="92"/>
      <c r="CD3" s="92">
        <v>1</v>
      </c>
      <c r="CE3" s="92"/>
      <c r="CF3" s="92"/>
      <c r="CG3" s="92"/>
      <c r="CH3" s="92">
        <v>1</v>
      </c>
      <c r="CI3" s="92"/>
      <c r="CJ3" s="92"/>
      <c r="CK3" s="92">
        <v>1</v>
      </c>
      <c r="CL3" s="92"/>
      <c r="CM3" s="92">
        <v>1</v>
      </c>
      <c r="CN3" s="92"/>
      <c r="CO3" s="92"/>
      <c r="CP3" s="93"/>
    </row>
    <row r="4" spans="1:94" ht="9.9499999999999993" customHeight="1" x14ac:dyDescent="0.25">
      <c r="A4" s="9"/>
      <c r="B4" s="154"/>
      <c r="C4" s="154"/>
      <c r="D4" s="154"/>
      <c r="E4" s="154"/>
      <c r="F4" s="154"/>
      <c r="G4" s="154"/>
      <c r="H4" s="154"/>
      <c r="I4" s="154"/>
      <c r="J4" s="154"/>
      <c r="K4" s="154"/>
      <c r="L4" s="154"/>
      <c r="M4" s="154"/>
      <c r="N4" s="154"/>
      <c r="O4" s="154"/>
      <c r="P4" s="154"/>
      <c r="Q4" s="154"/>
      <c r="R4" s="154"/>
      <c r="S4" s="154"/>
      <c r="BA4" s="91"/>
      <c r="BB4" s="92">
        <v>1</v>
      </c>
      <c r="BC4" s="92"/>
      <c r="BD4" s="92"/>
      <c r="BE4" s="92"/>
      <c r="BF4" s="92"/>
      <c r="BG4" s="92">
        <v>1</v>
      </c>
      <c r="BH4" s="92"/>
      <c r="BI4" s="92"/>
      <c r="BJ4" s="92"/>
      <c r="BK4" s="92">
        <v>1</v>
      </c>
      <c r="BL4" s="92"/>
      <c r="BM4" s="92">
        <v>1</v>
      </c>
      <c r="BN4" s="92"/>
      <c r="BO4" s="92"/>
      <c r="BP4" s="92"/>
      <c r="BQ4" s="92"/>
      <c r="BR4" s="92">
        <v>1</v>
      </c>
      <c r="BS4" s="92">
        <v>1</v>
      </c>
      <c r="BT4" s="92"/>
      <c r="BU4" s="92"/>
      <c r="BV4" s="92"/>
      <c r="BW4" s="92"/>
      <c r="BX4" s="92"/>
      <c r="BY4" s="92"/>
      <c r="BZ4" s="92">
        <v>1</v>
      </c>
      <c r="CA4" s="92">
        <v>1</v>
      </c>
      <c r="CB4" s="92">
        <v>1</v>
      </c>
      <c r="CC4" s="92"/>
      <c r="CD4" s="92">
        <v>1</v>
      </c>
      <c r="CE4" s="92">
        <v>1</v>
      </c>
      <c r="CF4" s="92"/>
      <c r="CG4" s="92"/>
      <c r="CH4" s="92">
        <v>1</v>
      </c>
      <c r="CI4" s="92">
        <v>1</v>
      </c>
      <c r="CJ4" s="92">
        <v>1</v>
      </c>
      <c r="CK4" s="92"/>
      <c r="CL4" s="92"/>
      <c r="CM4" s="92">
        <v>1</v>
      </c>
      <c r="CN4" s="92">
        <v>1</v>
      </c>
      <c r="CO4" s="92"/>
      <c r="CP4" s="93"/>
    </row>
    <row r="5" spans="1:94" ht="9.9499999999999993" customHeight="1" x14ac:dyDescent="0.25">
      <c r="A5" s="9"/>
      <c r="B5" s="154"/>
      <c r="C5" s="154"/>
      <c r="D5" s="154"/>
      <c r="E5" s="154"/>
      <c r="F5" s="154"/>
      <c r="G5" s="154"/>
      <c r="H5" s="154"/>
      <c r="I5" s="154"/>
      <c r="J5" s="154"/>
      <c r="K5" s="154"/>
      <c r="L5" s="154"/>
      <c r="M5" s="154"/>
      <c r="N5" s="154"/>
      <c r="O5" s="154"/>
      <c r="P5" s="154"/>
      <c r="Q5" s="154"/>
      <c r="R5" s="154"/>
      <c r="S5" s="154"/>
      <c r="BA5" s="91"/>
      <c r="BB5" s="92">
        <v>1</v>
      </c>
      <c r="BC5" s="92"/>
      <c r="BD5" s="92"/>
      <c r="BE5" s="92">
        <v>1</v>
      </c>
      <c r="BF5" s="92"/>
      <c r="BG5" s="92">
        <v>1</v>
      </c>
      <c r="BH5" s="92"/>
      <c r="BI5" s="92"/>
      <c r="BJ5" s="92"/>
      <c r="BK5" s="92">
        <v>1</v>
      </c>
      <c r="BL5" s="92"/>
      <c r="BM5" s="92">
        <v>1</v>
      </c>
      <c r="BN5" s="92"/>
      <c r="BO5" s="92"/>
      <c r="BP5" s="92">
        <v>1</v>
      </c>
      <c r="BQ5" s="92"/>
      <c r="BR5" s="92">
        <v>1</v>
      </c>
      <c r="BS5" s="92"/>
      <c r="BT5" s="92">
        <v>1</v>
      </c>
      <c r="BU5" s="92"/>
      <c r="BV5" s="92"/>
      <c r="BW5" s="92"/>
      <c r="BX5" s="92"/>
      <c r="BY5" s="92"/>
      <c r="BZ5" s="92">
        <v>1</v>
      </c>
      <c r="CA5" s="92"/>
      <c r="CB5" s="92">
        <v>1</v>
      </c>
      <c r="CC5" s="92"/>
      <c r="CD5" s="92">
        <v>1</v>
      </c>
      <c r="CE5" s="92"/>
      <c r="CF5" s="92"/>
      <c r="CG5" s="92"/>
      <c r="CH5" s="92">
        <v>1</v>
      </c>
      <c r="CI5" s="92"/>
      <c r="CJ5" s="92"/>
      <c r="CK5" s="92">
        <v>1</v>
      </c>
      <c r="CL5" s="92"/>
      <c r="CM5" s="92">
        <v>1</v>
      </c>
      <c r="CN5" s="92"/>
      <c r="CO5" s="92"/>
      <c r="CP5" s="93"/>
    </row>
    <row r="6" spans="1:94" ht="9.9499999999999993" customHeight="1" x14ac:dyDescent="0.25">
      <c r="A6" s="9"/>
      <c r="B6" s="154"/>
      <c r="C6" s="154"/>
      <c r="D6" s="154"/>
      <c r="E6" s="154"/>
      <c r="F6" s="154"/>
      <c r="G6" s="154"/>
      <c r="H6" s="154"/>
      <c r="I6" s="154"/>
      <c r="J6" s="154"/>
      <c r="K6" s="154"/>
      <c r="L6" s="154"/>
      <c r="M6" s="154"/>
      <c r="N6" s="154"/>
      <c r="O6" s="154"/>
      <c r="P6" s="154"/>
      <c r="Q6" s="154"/>
      <c r="R6" s="154"/>
      <c r="S6" s="154"/>
      <c r="BA6" s="91"/>
      <c r="BB6" s="92"/>
      <c r="BC6" s="92">
        <v>1</v>
      </c>
      <c r="BD6" s="92">
        <v>1</v>
      </c>
      <c r="BE6" s="92"/>
      <c r="BF6" s="92"/>
      <c r="BG6" s="92">
        <v>1</v>
      </c>
      <c r="BH6" s="92">
        <v>1</v>
      </c>
      <c r="BI6" s="92">
        <v>1</v>
      </c>
      <c r="BJ6" s="92"/>
      <c r="BK6" s="92">
        <v>1</v>
      </c>
      <c r="BL6" s="92"/>
      <c r="BM6" s="92"/>
      <c r="BN6" s="92">
        <v>1</v>
      </c>
      <c r="BO6" s="92">
        <v>1</v>
      </c>
      <c r="BP6" s="92"/>
      <c r="BQ6" s="92"/>
      <c r="BR6" s="92">
        <v>1</v>
      </c>
      <c r="BS6" s="92"/>
      <c r="BT6" s="92">
        <v>1</v>
      </c>
      <c r="BU6" s="92"/>
      <c r="BV6" s="92"/>
      <c r="BW6" s="92"/>
      <c r="BX6" s="92"/>
      <c r="BY6" s="92"/>
      <c r="BZ6" s="92">
        <v>1</v>
      </c>
      <c r="CA6" s="92"/>
      <c r="CB6" s="92">
        <v>1</v>
      </c>
      <c r="CC6" s="92"/>
      <c r="CD6" s="92">
        <v>1</v>
      </c>
      <c r="CE6" s="92">
        <v>1</v>
      </c>
      <c r="CF6" s="92">
        <v>1</v>
      </c>
      <c r="CG6" s="92"/>
      <c r="CH6" s="92">
        <v>1</v>
      </c>
      <c r="CI6" s="92"/>
      <c r="CJ6" s="92"/>
      <c r="CK6" s="92">
        <v>1</v>
      </c>
      <c r="CL6" s="92"/>
      <c r="CM6" s="92">
        <v>1</v>
      </c>
      <c r="CN6" s="92">
        <v>1</v>
      </c>
      <c r="CO6" s="92">
        <v>1</v>
      </c>
      <c r="CP6" s="93"/>
    </row>
    <row r="7" spans="1:94" ht="9.9499999999999993" customHeight="1" x14ac:dyDescent="0.25">
      <c r="A7" s="9"/>
      <c r="B7" s="154"/>
      <c r="C7" s="154"/>
      <c r="D7" s="154"/>
      <c r="E7" s="154"/>
      <c r="F7" s="154"/>
      <c r="G7" s="154"/>
      <c r="H7" s="154"/>
      <c r="I7" s="154"/>
      <c r="J7" s="154"/>
      <c r="K7" s="154"/>
      <c r="L7" s="154"/>
      <c r="M7" s="154"/>
      <c r="N7" s="154"/>
      <c r="O7" s="154"/>
      <c r="P7" s="154"/>
      <c r="Q7" s="154"/>
      <c r="R7" s="154"/>
      <c r="S7" s="154"/>
      <c r="BA7" s="91"/>
      <c r="BB7" s="92"/>
      <c r="BC7" s="92"/>
      <c r="BD7" s="92"/>
      <c r="BE7" s="92"/>
      <c r="BF7" s="92"/>
      <c r="BG7" s="92"/>
      <c r="BH7" s="92"/>
      <c r="BI7" s="92"/>
      <c r="BJ7" s="92"/>
      <c r="BK7" s="92"/>
      <c r="BL7" s="92"/>
      <c r="BM7" s="92"/>
      <c r="BN7" s="92"/>
      <c r="BO7" s="92"/>
      <c r="BP7" s="92"/>
      <c r="BQ7" s="92"/>
      <c r="BR7" s="92"/>
      <c r="BS7" s="92"/>
      <c r="BT7" s="92"/>
      <c r="BU7" s="92"/>
      <c r="BV7" s="92"/>
      <c r="BW7" s="92"/>
      <c r="BX7" s="92"/>
      <c r="BY7" s="92"/>
      <c r="BZ7" s="92"/>
      <c r="CA7" s="92"/>
      <c r="CB7" s="92"/>
      <c r="CC7" s="92"/>
      <c r="CD7" s="92"/>
      <c r="CE7" s="92"/>
      <c r="CF7" s="92"/>
      <c r="CG7" s="92"/>
      <c r="CH7" s="92"/>
      <c r="CI7" s="92"/>
      <c r="CJ7" s="92"/>
      <c r="CK7" s="92"/>
      <c r="CL7" s="92"/>
      <c r="CM7" s="92"/>
      <c r="CN7" s="92"/>
      <c r="CO7" s="92"/>
      <c r="CP7" s="93"/>
    </row>
    <row r="8" spans="1:94" ht="9.9499999999999993" customHeight="1" x14ac:dyDescent="0.25">
      <c r="A8" s="9"/>
      <c r="B8" s="154"/>
      <c r="C8" s="154"/>
      <c r="D8" s="154"/>
      <c r="E8" s="154"/>
      <c r="F8" s="154"/>
      <c r="G8" s="154"/>
      <c r="H8" s="154"/>
      <c r="I8" s="154"/>
      <c r="J8" s="154"/>
      <c r="K8" s="154"/>
      <c r="L8" s="154"/>
      <c r="M8" s="154"/>
      <c r="N8" s="154"/>
      <c r="O8" s="154"/>
      <c r="P8" s="154"/>
      <c r="Q8" s="154"/>
      <c r="R8" s="154"/>
      <c r="S8" s="154"/>
      <c r="BA8" s="91"/>
      <c r="BB8" s="92"/>
      <c r="BC8" s="92"/>
      <c r="BD8" s="92"/>
      <c r="BE8" s="92"/>
      <c r="BF8" s="92"/>
      <c r="BG8" s="92"/>
      <c r="BH8" s="92"/>
      <c r="BI8" s="92"/>
      <c r="BJ8" s="92"/>
      <c r="BK8" s="92"/>
      <c r="BL8" s="92"/>
      <c r="BM8" s="92"/>
      <c r="BN8" s="92"/>
      <c r="BO8" s="92"/>
      <c r="BP8" s="92"/>
      <c r="BQ8" s="92"/>
      <c r="BR8" s="92"/>
      <c r="BS8" s="92"/>
      <c r="BT8" s="92"/>
      <c r="BU8" s="92"/>
      <c r="BV8" s="92"/>
      <c r="BW8" s="92"/>
      <c r="BX8" s="92"/>
      <c r="BY8" s="92"/>
      <c r="BZ8" s="92"/>
      <c r="CA8" s="92"/>
      <c r="CB8" s="92"/>
      <c r="CC8" s="92"/>
      <c r="CD8" s="92"/>
      <c r="CE8" s="92"/>
      <c r="CF8" s="92"/>
      <c r="CG8" s="92"/>
      <c r="CH8" s="92"/>
      <c r="CI8" s="92"/>
      <c r="CJ8" s="92"/>
      <c r="CK8" s="92"/>
      <c r="CL8" s="92"/>
      <c r="CM8" s="92"/>
      <c r="CN8" s="92"/>
      <c r="CO8" s="92"/>
      <c r="CP8" s="93"/>
    </row>
    <row r="9" spans="1:94" ht="9.9499999999999993" customHeight="1" x14ac:dyDescent="0.25">
      <c r="A9" s="9"/>
      <c r="B9" s="154"/>
      <c r="C9" s="154"/>
      <c r="D9" s="154"/>
      <c r="E9" s="154"/>
      <c r="F9" s="154"/>
      <c r="G9" s="154"/>
      <c r="H9" s="154"/>
      <c r="I9" s="154"/>
      <c r="J9" s="154"/>
      <c r="K9" s="154"/>
      <c r="L9" s="154"/>
      <c r="M9" s="154"/>
      <c r="N9" s="154"/>
      <c r="O9" s="154"/>
      <c r="P9" s="154"/>
      <c r="Q9" s="154"/>
      <c r="R9" s="154"/>
      <c r="S9" s="154"/>
      <c r="BA9" s="91"/>
      <c r="BB9" s="92"/>
      <c r="BC9" s="92"/>
      <c r="BD9" s="92"/>
      <c r="BE9" s="92"/>
      <c r="BF9" s="92"/>
      <c r="BG9" s="92"/>
      <c r="BH9" s="92"/>
      <c r="BI9" s="92"/>
      <c r="BJ9" s="92"/>
      <c r="BK9" s="92"/>
      <c r="BL9" s="92"/>
      <c r="BM9" s="92"/>
      <c r="BN9" s="92"/>
      <c r="BO9" s="92"/>
      <c r="BP9" s="92"/>
      <c r="BQ9" s="92"/>
      <c r="BR9" s="92"/>
      <c r="BS9" s="92"/>
      <c r="BT9" s="92"/>
      <c r="BU9" s="92"/>
      <c r="BV9" s="92"/>
      <c r="BW9" s="92"/>
      <c r="BX9" s="92"/>
      <c r="BY9" s="92"/>
      <c r="BZ9" s="92"/>
      <c r="CA9" s="92"/>
      <c r="CB9" s="92"/>
      <c r="CC9" s="92"/>
      <c r="CD9" s="92"/>
      <c r="CE9" s="92"/>
      <c r="CF9" s="92"/>
      <c r="CG9" s="92"/>
      <c r="CH9" s="92"/>
      <c r="CI9" s="92"/>
      <c r="CJ9" s="92"/>
      <c r="CK9" s="92"/>
      <c r="CL9" s="92"/>
      <c r="CM9" s="92"/>
      <c r="CN9" s="92"/>
      <c r="CO9" s="92"/>
      <c r="CP9" s="93"/>
    </row>
    <row r="10" spans="1:94" ht="9.9499999999999993" customHeight="1" x14ac:dyDescent="0.25">
      <c r="A10" s="9"/>
      <c r="B10" s="154"/>
      <c r="C10" s="154"/>
      <c r="D10" s="154"/>
      <c r="E10" s="154"/>
      <c r="F10" s="154"/>
      <c r="G10" s="154"/>
      <c r="H10" s="154"/>
      <c r="I10" s="154"/>
      <c r="J10" s="154"/>
      <c r="K10" s="154"/>
      <c r="L10" s="154"/>
      <c r="M10" s="154"/>
      <c r="N10" s="154"/>
      <c r="O10" s="154"/>
      <c r="P10" s="154"/>
      <c r="Q10" s="154"/>
      <c r="R10" s="154"/>
      <c r="S10" s="154"/>
      <c r="BA10" s="91"/>
      <c r="BB10" s="92"/>
      <c r="BC10" s="92"/>
      <c r="BD10" s="92"/>
      <c r="BE10" s="92"/>
      <c r="BF10" s="92"/>
      <c r="BG10" s="92"/>
      <c r="BH10" s="92"/>
      <c r="BI10" s="92"/>
      <c r="BJ10" s="92"/>
      <c r="BK10" s="92"/>
      <c r="BL10" s="92"/>
      <c r="BM10" s="92"/>
      <c r="BN10" s="92"/>
      <c r="BO10" s="92"/>
      <c r="BP10" s="92"/>
      <c r="BQ10" s="92"/>
      <c r="BR10" s="92"/>
      <c r="BS10" s="92"/>
      <c r="BT10" s="92">
        <v>1</v>
      </c>
      <c r="BU10" s="92">
        <v>1</v>
      </c>
      <c r="BV10" s="92">
        <v>1</v>
      </c>
      <c r="BW10" s="92">
        <v>1</v>
      </c>
      <c r="BX10" s="92">
        <v>1</v>
      </c>
      <c r="BY10" s="92"/>
      <c r="BZ10" s="92"/>
      <c r="CA10" s="92"/>
      <c r="CB10" s="92"/>
      <c r="CC10" s="92"/>
      <c r="CD10" s="92"/>
      <c r="CE10" s="92"/>
      <c r="CF10" s="92"/>
      <c r="CG10" s="92"/>
      <c r="CH10" s="92"/>
      <c r="CI10" s="92"/>
      <c r="CJ10" s="92"/>
      <c r="CK10" s="92"/>
      <c r="CL10" s="92"/>
      <c r="CM10" s="92"/>
      <c r="CN10" s="92"/>
      <c r="CO10" s="92"/>
      <c r="CP10" s="93"/>
    </row>
    <row r="11" spans="1:94" ht="9.9499999999999993" customHeight="1" x14ac:dyDescent="0.25">
      <c r="B11" s="154"/>
      <c r="C11" s="154"/>
      <c r="D11" s="154"/>
      <c r="E11" s="154"/>
      <c r="F11" s="154"/>
      <c r="G11" s="154"/>
      <c r="H11" s="154"/>
      <c r="I11" s="154"/>
      <c r="J11" s="154"/>
      <c r="K11" s="154"/>
      <c r="L11" s="154"/>
      <c r="M11" s="154"/>
      <c r="N11" s="154"/>
      <c r="O11" s="154"/>
      <c r="P11" s="154"/>
      <c r="Q11" s="154"/>
      <c r="R11" s="154"/>
      <c r="S11" s="154"/>
      <c r="BA11" s="91"/>
      <c r="BB11" s="92"/>
      <c r="BC11" s="92"/>
      <c r="BD11" s="92"/>
      <c r="BE11" s="92"/>
      <c r="BF11" s="92"/>
      <c r="BG11" s="92"/>
      <c r="BH11" s="92"/>
      <c r="BI11" s="92"/>
      <c r="BJ11" s="92"/>
      <c r="BK11" s="92"/>
      <c r="BL11" s="92"/>
      <c r="BM11" s="92"/>
      <c r="BN11" s="92"/>
      <c r="BO11" s="92"/>
      <c r="BP11" s="92"/>
      <c r="BQ11" s="92"/>
      <c r="BR11" s="92"/>
      <c r="BS11" s="92"/>
      <c r="BT11" s="92">
        <v>1</v>
      </c>
      <c r="BU11" s="92">
        <v>1</v>
      </c>
      <c r="BV11" s="92">
        <v>1</v>
      </c>
      <c r="BW11" s="92">
        <v>1</v>
      </c>
      <c r="BX11" s="92">
        <v>1</v>
      </c>
      <c r="BY11" s="92"/>
      <c r="BZ11" s="92"/>
      <c r="CA11" s="92"/>
      <c r="CB11" s="92"/>
      <c r="CC11" s="92"/>
      <c r="CD11" s="92"/>
      <c r="CE11" s="92"/>
      <c r="CF11" s="92"/>
      <c r="CG11" s="92"/>
      <c r="CH11" s="92"/>
      <c r="CI11" s="92"/>
      <c r="CJ11" s="92"/>
      <c r="CK11" s="92"/>
      <c r="CL11" s="92"/>
      <c r="CM11" s="92"/>
      <c r="CN11" s="92"/>
      <c r="CO11" s="92"/>
      <c r="CP11" s="93"/>
    </row>
    <row r="12" spans="1:94" ht="9.9499999999999993" customHeight="1" x14ac:dyDescent="0.25">
      <c r="B12" s="154"/>
      <c r="C12" s="154"/>
      <c r="D12" s="154"/>
      <c r="E12" s="154"/>
      <c r="F12" s="154"/>
      <c r="G12" s="154"/>
      <c r="H12" s="154"/>
      <c r="I12" s="154"/>
      <c r="J12" s="154"/>
      <c r="K12" s="154"/>
      <c r="L12" s="154"/>
      <c r="M12" s="154"/>
      <c r="N12" s="154"/>
      <c r="O12" s="154"/>
      <c r="P12" s="154"/>
      <c r="Q12" s="154"/>
      <c r="R12" s="154"/>
      <c r="S12" s="154"/>
      <c r="BA12" s="91"/>
      <c r="BB12" s="92"/>
      <c r="BC12" s="92"/>
      <c r="BD12" s="92"/>
      <c r="BE12" s="92"/>
      <c r="BF12" s="92"/>
      <c r="BG12" s="92"/>
      <c r="BH12" s="92"/>
      <c r="BI12" s="92"/>
      <c r="BJ12" s="92"/>
      <c r="BK12" s="92"/>
      <c r="BL12" s="92"/>
      <c r="BM12" s="92"/>
      <c r="BN12" s="92"/>
      <c r="BO12" s="92"/>
      <c r="BP12" s="92"/>
      <c r="BQ12" s="92"/>
      <c r="BR12" s="92"/>
      <c r="BS12" s="92"/>
      <c r="BT12" s="92">
        <v>1</v>
      </c>
      <c r="BU12" s="92">
        <v>1</v>
      </c>
      <c r="BV12" s="92">
        <v>1</v>
      </c>
      <c r="BW12" s="92">
        <v>1</v>
      </c>
      <c r="BX12" s="92">
        <v>1</v>
      </c>
      <c r="BY12" s="92"/>
      <c r="BZ12" s="92"/>
      <c r="CA12" s="92"/>
      <c r="CB12" s="92"/>
      <c r="CC12" s="92"/>
      <c r="CD12" s="92"/>
      <c r="CE12" s="92"/>
      <c r="CF12" s="92"/>
      <c r="CG12" s="92"/>
      <c r="CH12" s="92"/>
      <c r="CI12" s="92"/>
      <c r="CJ12" s="92"/>
      <c r="CK12" s="92"/>
      <c r="CL12" s="92"/>
      <c r="CM12" s="92"/>
      <c r="CN12" s="92"/>
      <c r="CO12" s="92"/>
      <c r="CP12" s="93"/>
    </row>
    <row r="13" spans="1:94" ht="9.9499999999999993" customHeight="1" x14ac:dyDescent="0.25">
      <c r="B13" s="154"/>
      <c r="C13" s="154"/>
      <c r="D13" s="154"/>
      <c r="E13" s="154"/>
      <c r="F13" s="154"/>
      <c r="G13" s="154"/>
      <c r="H13" s="154"/>
      <c r="I13" s="154"/>
      <c r="J13" s="154"/>
      <c r="K13" s="154"/>
      <c r="L13" s="154"/>
      <c r="M13" s="154"/>
      <c r="N13" s="154"/>
      <c r="O13" s="154"/>
      <c r="P13" s="154"/>
      <c r="Q13" s="154"/>
      <c r="R13" s="154"/>
      <c r="S13" s="154"/>
      <c r="BA13" s="91"/>
      <c r="BB13" s="92"/>
      <c r="BC13" s="92"/>
      <c r="BD13" s="92"/>
      <c r="BE13" s="92"/>
      <c r="BF13" s="92"/>
      <c r="BG13" s="92"/>
      <c r="BH13" s="92"/>
      <c r="BI13" s="92"/>
      <c r="BJ13" s="92"/>
      <c r="BK13" s="92"/>
      <c r="BL13" s="92"/>
      <c r="BM13" s="92"/>
      <c r="BN13" s="92"/>
      <c r="BO13" s="92"/>
      <c r="BP13" s="92"/>
      <c r="BQ13" s="92"/>
      <c r="BR13" s="92"/>
      <c r="BS13" s="92"/>
      <c r="BT13" s="92">
        <v>1</v>
      </c>
      <c r="BU13" s="92">
        <v>1</v>
      </c>
      <c r="BV13" s="92">
        <v>1</v>
      </c>
      <c r="BW13" s="92">
        <v>1</v>
      </c>
      <c r="BX13" s="92">
        <v>1</v>
      </c>
      <c r="BY13" s="92"/>
      <c r="BZ13" s="92"/>
      <c r="CA13" s="92"/>
      <c r="CB13" s="92"/>
      <c r="CC13" s="92"/>
      <c r="CD13" s="92"/>
      <c r="CE13" s="92"/>
      <c r="CF13" s="92"/>
      <c r="CG13" s="92"/>
      <c r="CH13" s="92"/>
      <c r="CI13" s="92"/>
      <c r="CJ13" s="92"/>
      <c r="CK13" s="92"/>
      <c r="CL13" s="92"/>
      <c r="CM13" s="92"/>
      <c r="CN13" s="92"/>
      <c r="CO13" s="92"/>
      <c r="CP13" s="93"/>
    </row>
    <row r="14" spans="1:94" ht="9.9499999999999993" customHeight="1" x14ac:dyDescent="0.25">
      <c r="B14" s="154"/>
      <c r="C14" s="154"/>
      <c r="D14" s="154"/>
      <c r="E14" s="154"/>
      <c r="F14" s="154"/>
      <c r="G14" s="154"/>
      <c r="H14" s="154"/>
      <c r="I14" s="154"/>
      <c r="J14" s="154"/>
      <c r="K14" s="154"/>
      <c r="L14" s="154"/>
      <c r="M14" s="154"/>
      <c r="N14" s="154"/>
      <c r="O14" s="154"/>
      <c r="P14" s="154"/>
      <c r="Q14" s="154"/>
      <c r="R14" s="154"/>
      <c r="S14" s="154"/>
      <c r="BA14" s="91"/>
      <c r="BB14" s="92"/>
      <c r="BC14" s="92"/>
      <c r="BD14" s="92"/>
      <c r="BE14" s="92"/>
      <c r="BF14" s="92"/>
      <c r="BG14" s="92"/>
      <c r="BH14" s="92"/>
      <c r="BI14" s="92"/>
      <c r="BJ14" s="92"/>
      <c r="BK14" s="92"/>
      <c r="BL14" s="92"/>
      <c r="BM14" s="92"/>
      <c r="BN14" s="92"/>
      <c r="BO14" s="92"/>
      <c r="BP14" s="92"/>
      <c r="BQ14" s="92"/>
      <c r="BR14" s="92"/>
      <c r="BS14" s="92"/>
      <c r="BT14" s="92">
        <v>1</v>
      </c>
      <c r="BU14" s="92">
        <v>1</v>
      </c>
      <c r="BV14" s="92">
        <v>1</v>
      </c>
      <c r="BW14" s="92">
        <v>1</v>
      </c>
      <c r="BX14" s="92">
        <v>1</v>
      </c>
      <c r="BY14" s="92"/>
      <c r="BZ14" s="92"/>
      <c r="CA14" s="92"/>
      <c r="CB14" s="92"/>
      <c r="CC14" s="92"/>
      <c r="CD14" s="92"/>
      <c r="CE14" s="92"/>
      <c r="CF14" s="92"/>
      <c r="CG14" s="92"/>
      <c r="CH14" s="92"/>
      <c r="CI14" s="92"/>
      <c r="CJ14" s="92"/>
      <c r="CK14" s="92"/>
      <c r="CL14" s="92"/>
      <c r="CM14" s="92"/>
      <c r="CN14" s="92"/>
      <c r="CO14" s="92"/>
      <c r="CP14" s="93"/>
    </row>
    <row r="15" spans="1:94" ht="9.9499999999999993" customHeight="1" x14ac:dyDescent="0.25">
      <c r="B15" s="154"/>
      <c r="C15" s="154"/>
      <c r="D15" s="154"/>
      <c r="E15" s="154"/>
      <c r="F15" s="154"/>
      <c r="G15" s="154"/>
      <c r="H15" s="154"/>
      <c r="I15" s="154"/>
      <c r="J15" s="154"/>
      <c r="K15" s="154"/>
      <c r="L15" s="154"/>
      <c r="M15" s="154"/>
      <c r="N15" s="154"/>
      <c r="O15" s="154"/>
      <c r="P15" s="154"/>
      <c r="Q15" s="154"/>
      <c r="R15" s="154"/>
      <c r="S15" s="154"/>
      <c r="BA15" s="91"/>
      <c r="BB15" s="92"/>
      <c r="BC15" s="92"/>
      <c r="BD15" s="92"/>
      <c r="BE15" s="92"/>
      <c r="BF15" s="92"/>
      <c r="BG15" s="92"/>
      <c r="BH15" s="92"/>
      <c r="BI15" s="92"/>
      <c r="BJ15" s="92"/>
      <c r="BK15" s="92"/>
      <c r="BL15" s="92"/>
      <c r="BM15" s="92"/>
      <c r="BN15" s="92"/>
      <c r="BO15" s="92"/>
      <c r="BP15" s="92"/>
      <c r="BQ15" s="92"/>
      <c r="BR15" s="92">
        <v>1</v>
      </c>
      <c r="BS15" s="92">
        <v>1</v>
      </c>
      <c r="BT15" s="92">
        <v>1</v>
      </c>
      <c r="BU15" s="92">
        <v>1</v>
      </c>
      <c r="BV15" s="92">
        <v>1</v>
      </c>
      <c r="BW15" s="92">
        <v>1</v>
      </c>
      <c r="BX15" s="92">
        <v>1</v>
      </c>
      <c r="BY15" s="92">
        <v>1</v>
      </c>
      <c r="BZ15" s="92">
        <v>1</v>
      </c>
      <c r="CA15" s="92"/>
      <c r="CB15" s="92"/>
      <c r="CC15" s="92"/>
      <c r="CD15" s="92"/>
      <c r="CE15" s="92"/>
      <c r="CF15" s="92"/>
      <c r="CG15" s="92"/>
      <c r="CH15" s="92"/>
      <c r="CI15" s="92"/>
      <c r="CJ15" s="92"/>
      <c r="CK15" s="92"/>
      <c r="CL15" s="92"/>
      <c r="CM15" s="92"/>
      <c r="CN15" s="92"/>
      <c r="CO15" s="92"/>
      <c r="CP15" s="93"/>
    </row>
    <row r="16" spans="1:94" ht="9.9499999999999993" customHeight="1" x14ac:dyDescent="0.25">
      <c r="B16" s="154"/>
      <c r="C16" s="154"/>
      <c r="D16" s="154"/>
      <c r="E16" s="154"/>
      <c r="F16" s="154"/>
      <c r="G16" s="154"/>
      <c r="H16" s="154"/>
      <c r="I16" s="154"/>
      <c r="J16" s="154"/>
      <c r="K16" s="154"/>
      <c r="L16" s="154"/>
      <c r="M16" s="154"/>
      <c r="N16" s="154"/>
      <c r="O16" s="154"/>
      <c r="P16" s="154"/>
      <c r="Q16" s="154"/>
      <c r="R16" s="154"/>
      <c r="S16" s="154"/>
      <c r="BA16" s="91"/>
      <c r="BB16" s="92"/>
      <c r="BC16" s="92"/>
      <c r="BD16" s="92"/>
      <c r="BE16" s="92"/>
      <c r="BF16" s="92"/>
      <c r="BG16" s="92"/>
      <c r="BH16" s="92"/>
      <c r="BI16" s="92"/>
      <c r="BJ16" s="92"/>
      <c r="BK16" s="92"/>
      <c r="BL16" s="92"/>
      <c r="BM16" s="92"/>
      <c r="BN16" s="92"/>
      <c r="BO16" s="92"/>
      <c r="BP16" s="92"/>
      <c r="BQ16" s="92"/>
      <c r="BR16" s="92"/>
      <c r="BS16" s="92">
        <v>1</v>
      </c>
      <c r="BT16" s="92">
        <v>1</v>
      </c>
      <c r="BU16" s="92">
        <v>1</v>
      </c>
      <c r="BV16" s="92">
        <v>1</v>
      </c>
      <c r="BW16" s="92">
        <v>1</v>
      </c>
      <c r="BX16" s="92">
        <v>1</v>
      </c>
      <c r="BY16" s="92">
        <v>1</v>
      </c>
      <c r="BZ16" s="92"/>
      <c r="CA16" s="92"/>
      <c r="CB16" s="92"/>
      <c r="CC16" s="92"/>
      <c r="CD16" s="92"/>
      <c r="CE16" s="92"/>
      <c r="CF16" s="92"/>
      <c r="CG16" s="92"/>
      <c r="CH16" s="92"/>
      <c r="CI16" s="92"/>
      <c r="CJ16" s="92"/>
      <c r="CK16" s="92"/>
      <c r="CL16" s="92"/>
      <c r="CM16" s="92"/>
      <c r="CN16" s="92"/>
      <c r="CO16" s="92"/>
      <c r="CP16" s="93"/>
    </row>
    <row r="17" spans="2:94" ht="9.9499999999999993" customHeight="1" x14ac:dyDescent="0.25">
      <c r="B17" s="154"/>
      <c r="C17" s="154"/>
      <c r="D17" s="154"/>
      <c r="E17" s="154"/>
      <c r="F17" s="154"/>
      <c r="G17" s="154"/>
      <c r="H17" s="154"/>
      <c r="I17" s="154"/>
      <c r="J17" s="154"/>
      <c r="K17" s="154"/>
      <c r="L17" s="154"/>
      <c r="M17" s="154"/>
      <c r="N17" s="154"/>
      <c r="O17" s="154"/>
      <c r="P17" s="154"/>
      <c r="Q17" s="154"/>
      <c r="R17" s="154"/>
      <c r="S17" s="154"/>
      <c r="BA17" s="91"/>
      <c r="BB17" s="92"/>
      <c r="BC17" s="92"/>
      <c r="BD17" s="92"/>
      <c r="BE17" s="92"/>
      <c r="BF17" s="92"/>
      <c r="BG17" s="92"/>
      <c r="BH17" s="92"/>
      <c r="BI17" s="92"/>
      <c r="BJ17" s="92"/>
      <c r="BK17" s="92"/>
      <c r="BL17" s="92"/>
      <c r="BM17" s="92"/>
      <c r="BN17" s="92"/>
      <c r="BO17" s="92"/>
      <c r="BP17" s="92"/>
      <c r="BQ17" s="92"/>
      <c r="BR17" s="92"/>
      <c r="BS17" s="92"/>
      <c r="BT17" s="92">
        <v>1</v>
      </c>
      <c r="BU17" s="92">
        <v>1</v>
      </c>
      <c r="BV17" s="92">
        <v>1</v>
      </c>
      <c r="BW17" s="92">
        <v>1</v>
      </c>
      <c r="BX17" s="92">
        <v>1</v>
      </c>
      <c r="BY17" s="92"/>
      <c r="BZ17" s="92"/>
      <c r="CA17" s="92"/>
      <c r="CB17" s="92"/>
      <c r="CC17" s="92"/>
      <c r="CD17" s="92"/>
      <c r="CE17" s="92"/>
      <c r="CF17" s="92"/>
      <c r="CG17" s="92"/>
      <c r="CH17" s="92"/>
      <c r="CI17" s="92"/>
      <c r="CJ17" s="92"/>
      <c r="CK17" s="92"/>
      <c r="CL17" s="92"/>
      <c r="CM17" s="92"/>
      <c r="CN17" s="92"/>
      <c r="CO17" s="92"/>
      <c r="CP17" s="93"/>
    </row>
    <row r="18" spans="2:94" ht="9.9499999999999993" customHeight="1" x14ac:dyDescent="0.25">
      <c r="B18" s="154"/>
      <c r="C18" s="154"/>
      <c r="D18" s="154"/>
      <c r="E18" s="154"/>
      <c r="F18" s="154"/>
      <c r="G18" s="154"/>
      <c r="H18" s="154"/>
      <c r="I18" s="154"/>
      <c r="J18" s="154"/>
      <c r="K18" s="154"/>
      <c r="L18" s="154"/>
      <c r="M18" s="154"/>
      <c r="N18" s="154"/>
      <c r="O18" s="154"/>
      <c r="P18" s="154"/>
      <c r="Q18" s="154"/>
      <c r="R18" s="154"/>
      <c r="S18" s="154"/>
      <c r="BA18" s="91"/>
      <c r="BB18" s="92"/>
      <c r="BC18" s="92"/>
      <c r="BD18" s="92"/>
      <c r="BE18" s="92"/>
      <c r="BF18" s="92"/>
      <c r="BG18" s="92"/>
      <c r="BH18" s="92"/>
      <c r="BI18" s="92"/>
      <c r="BJ18" s="92"/>
      <c r="BK18" s="92"/>
      <c r="BL18" s="92"/>
      <c r="BM18" s="92"/>
      <c r="BN18" s="92"/>
      <c r="BO18" s="92"/>
      <c r="BP18" s="92"/>
      <c r="BQ18" s="92"/>
      <c r="BR18" s="92"/>
      <c r="BS18" s="92"/>
      <c r="BT18" s="92"/>
      <c r="BU18" s="92">
        <v>1</v>
      </c>
      <c r="BV18" s="92">
        <v>1</v>
      </c>
      <c r="BW18" s="92">
        <v>1</v>
      </c>
      <c r="BX18" s="92"/>
      <c r="BY18" s="92"/>
      <c r="BZ18" s="92"/>
      <c r="CA18" s="92"/>
      <c r="CB18" s="92"/>
      <c r="CC18" s="92"/>
      <c r="CD18" s="92"/>
      <c r="CE18" s="92"/>
      <c r="CF18" s="92"/>
      <c r="CG18" s="92"/>
      <c r="CH18" s="92"/>
      <c r="CI18" s="92"/>
      <c r="CJ18" s="92"/>
      <c r="CK18" s="92"/>
      <c r="CL18" s="92"/>
      <c r="CM18" s="92"/>
      <c r="CN18" s="92"/>
      <c r="CO18" s="92"/>
      <c r="CP18" s="93"/>
    </row>
    <row r="19" spans="2:94" ht="9.9499999999999993" customHeight="1" x14ac:dyDescent="0.25">
      <c r="B19" s="154"/>
      <c r="C19" s="154"/>
      <c r="D19" s="154"/>
      <c r="E19" s="154"/>
      <c r="F19" s="154"/>
      <c r="G19" s="154"/>
      <c r="H19" s="154"/>
      <c r="I19" s="154"/>
      <c r="J19" s="154"/>
      <c r="K19" s="154"/>
      <c r="L19" s="154"/>
      <c r="M19" s="154"/>
      <c r="N19" s="154"/>
      <c r="O19" s="154"/>
      <c r="P19" s="154"/>
      <c r="Q19" s="154"/>
      <c r="R19" s="154"/>
      <c r="S19" s="154"/>
      <c r="BA19" s="91"/>
      <c r="BB19" s="92"/>
      <c r="BC19" s="92"/>
      <c r="BD19" s="92"/>
      <c r="BE19" s="92"/>
      <c r="BF19" s="92"/>
      <c r="BG19" s="92"/>
      <c r="BH19" s="92"/>
      <c r="BI19" s="92"/>
      <c r="BJ19" s="92"/>
      <c r="BK19" s="92"/>
      <c r="BL19" s="92"/>
      <c r="BM19" s="92"/>
      <c r="BN19" s="92"/>
      <c r="BO19" s="92"/>
      <c r="BP19" s="92"/>
      <c r="BQ19" s="92"/>
      <c r="BR19" s="92"/>
      <c r="BS19" s="92"/>
      <c r="BT19" s="92"/>
      <c r="BU19" s="92"/>
      <c r="BV19" s="92">
        <v>1</v>
      </c>
      <c r="BW19" s="92"/>
      <c r="BX19" s="92"/>
      <c r="BY19" s="92"/>
      <c r="BZ19" s="92"/>
      <c r="CA19" s="92"/>
      <c r="CB19" s="92"/>
      <c r="CC19" s="92"/>
      <c r="CD19" s="92"/>
      <c r="CE19" s="92"/>
      <c r="CF19" s="92"/>
      <c r="CG19" s="92"/>
      <c r="CH19" s="92"/>
      <c r="CI19" s="92"/>
      <c r="CJ19" s="92"/>
      <c r="CK19" s="92"/>
      <c r="CL19" s="92"/>
      <c r="CM19" s="92"/>
      <c r="CN19" s="92"/>
      <c r="CO19" s="92"/>
      <c r="CP19" s="93"/>
    </row>
    <row r="20" spans="2:94" ht="9.9499999999999993" customHeight="1" x14ac:dyDescent="0.25">
      <c r="B20" s="154"/>
      <c r="C20" s="154"/>
      <c r="D20" s="154"/>
      <c r="E20" s="154"/>
      <c r="F20" s="154"/>
      <c r="G20" s="154"/>
      <c r="H20" s="154"/>
      <c r="I20" s="154"/>
      <c r="J20" s="154"/>
      <c r="K20" s="154"/>
      <c r="L20" s="154"/>
      <c r="M20" s="154"/>
      <c r="N20" s="154"/>
      <c r="O20" s="154"/>
      <c r="P20" s="154"/>
      <c r="Q20" s="154"/>
      <c r="R20" s="154"/>
      <c r="S20" s="154"/>
      <c r="BA20" s="91"/>
      <c r="BB20" s="92"/>
      <c r="BC20" s="92"/>
      <c r="BD20" s="92"/>
      <c r="BE20" s="92"/>
      <c r="BF20" s="92"/>
      <c r="BG20" s="92"/>
      <c r="BH20" s="92"/>
      <c r="BI20" s="92"/>
      <c r="BJ20" s="92"/>
      <c r="BK20" s="92"/>
      <c r="BL20" s="92"/>
      <c r="BM20" s="92"/>
      <c r="BN20" s="92"/>
      <c r="BO20" s="92"/>
      <c r="BP20" s="92"/>
      <c r="BQ20" s="92"/>
      <c r="BR20" s="92"/>
      <c r="BS20" s="92"/>
      <c r="BT20" s="92"/>
      <c r="BU20" s="92"/>
      <c r="BV20" s="92"/>
      <c r="BW20" s="92"/>
      <c r="BX20" s="92"/>
      <c r="BY20" s="92"/>
      <c r="BZ20" s="92"/>
      <c r="CA20" s="92"/>
      <c r="CB20" s="92"/>
      <c r="CC20" s="92"/>
      <c r="CD20" s="92"/>
      <c r="CE20" s="92"/>
      <c r="CF20" s="92"/>
      <c r="CG20" s="92"/>
      <c r="CH20" s="92"/>
      <c r="CI20" s="92"/>
      <c r="CJ20" s="92"/>
      <c r="CK20" s="92"/>
      <c r="CL20" s="92"/>
      <c r="CM20" s="92"/>
      <c r="CN20" s="92"/>
      <c r="CO20" s="92"/>
      <c r="CP20" s="93"/>
    </row>
    <row r="21" spans="2:94" ht="9.9499999999999993" customHeight="1" x14ac:dyDescent="0.25">
      <c r="B21" s="154"/>
      <c r="C21" s="154"/>
      <c r="D21" s="154"/>
      <c r="E21" s="154"/>
      <c r="F21" s="154"/>
      <c r="G21" s="154"/>
      <c r="H21" s="154"/>
      <c r="I21" s="154"/>
      <c r="J21" s="154"/>
      <c r="K21" s="154"/>
      <c r="L21" s="154"/>
      <c r="M21" s="154"/>
      <c r="N21" s="154"/>
      <c r="O21" s="154"/>
      <c r="P21" s="154"/>
      <c r="Q21" s="154"/>
      <c r="R21" s="154"/>
      <c r="S21" s="154"/>
      <c r="BA21" s="91"/>
      <c r="BB21" s="92"/>
      <c r="BC21" s="92"/>
      <c r="BD21" s="92"/>
      <c r="BE21" s="92"/>
      <c r="BF21" s="92"/>
      <c r="BG21" s="92"/>
      <c r="BH21" s="92"/>
      <c r="BI21" s="92"/>
      <c r="BJ21" s="92"/>
      <c r="BK21" s="92"/>
      <c r="BL21" s="92"/>
      <c r="BM21" s="92"/>
      <c r="BN21" s="92"/>
      <c r="BO21" s="92"/>
      <c r="BP21" s="92"/>
      <c r="BQ21" s="92"/>
      <c r="BR21" s="92"/>
      <c r="BS21" s="92"/>
      <c r="BT21" s="92"/>
      <c r="BU21" s="92"/>
      <c r="BV21" s="92"/>
      <c r="BW21" s="92"/>
      <c r="BX21" s="92"/>
      <c r="BY21" s="92"/>
      <c r="BZ21" s="92"/>
      <c r="CA21" s="92"/>
      <c r="CB21" s="92"/>
      <c r="CC21" s="92"/>
      <c r="CD21" s="92"/>
      <c r="CE21" s="92"/>
      <c r="CF21" s="92"/>
      <c r="CG21" s="92"/>
      <c r="CH21" s="92"/>
      <c r="CI21" s="92"/>
      <c r="CJ21" s="92"/>
      <c r="CK21" s="92"/>
      <c r="CL21" s="92"/>
      <c r="CM21" s="92"/>
      <c r="CN21" s="92"/>
      <c r="CO21" s="92"/>
      <c r="CP21" s="93"/>
    </row>
    <row r="22" spans="2:94" ht="9.9499999999999993" customHeight="1" x14ac:dyDescent="0.25">
      <c r="B22" s="154"/>
      <c r="C22" s="154"/>
      <c r="D22" s="154"/>
      <c r="E22" s="154"/>
      <c r="F22" s="154"/>
      <c r="G22" s="154"/>
      <c r="H22" s="154"/>
      <c r="I22" s="154"/>
      <c r="J22" s="154"/>
      <c r="K22" s="154"/>
      <c r="L22" s="154"/>
      <c r="M22" s="154"/>
      <c r="N22" s="154"/>
      <c r="O22" s="154"/>
      <c r="P22" s="154"/>
      <c r="Q22" s="154"/>
      <c r="R22" s="154"/>
      <c r="S22" s="154"/>
      <c r="BA22" s="91"/>
      <c r="BB22" s="92"/>
      <c r="BC22" s="92"/>
      <c r="BD22" s="92"/>
      <c r="BE22" s="92"/>
      <c r="BF22" s="92"/>
      <c r="BG22" s="92"/>
      <c r="BH22" s="92"/>
      <c r="BI22" s="92"/>
      <c r="BJ22" s="92"/>
      <c r="BK22" s="92"/>
      <c r="BL22" s="92"/>
      <c r="BM22" s="92"/>
      <c r="BN22" s="92"/>
      <c r="BO22" s="92"/>
      <c r="BP22" s="92"/>
      <c r="BQ22" s="92"/>
      <c r="BR22" s="92"/>
      <c r="BS22" s="92"/>
      <c r="BT22" s="92"/>
      <c r="BU22" s="92"/>
      <c r="BV22" s="92"/>
      <c r="BW22" s="92"/>
      <c r="BX22" s="92"/>
      <c r="BY22" s="92"/>
      <c r="BZ22" s="92"/>
      <c r="CA22" s="92"/>
      <c r="CB22" s="92"/>
      <c r="CC22" s="92"/>
      <c r="CD22" s="92"/>
      <c r="CE22" s="92"/>
      <c r="CF22" s="92"/>
      <c r="CG22" s="92"/>
      <c r="CH22" s="92"/>
      <c r="CI22" s="92"/>
      <c r="CJ22" s="92"/>
      <c r="CK22" s="92"/>
      <c r="CL22" s="92"/>
      <c r="CM22" s="92"/>
      <c r="CN22" s="92"/>
      <c r="CO22" s="92"/>
      <c r="CP22" s="93"/>
    </row>
    <row r="23" spans="2:94" ht="9.9499999999999993" customHeight="1" x14ac:dyDescent="0.25">
      <c r="B23" s="154"/>
      <c r="C23" s="154"/>
      <c r="D23" s="154"/>
      <c r="E23" s="154"/>
      <c r="F23" s="154"/>
      <c r="G23" s="154"/>
      <c r="H23" s="154"/>
      <c r="I23" s="154"/>
      <c r="J23" s="154"/>
      <c r="K23" s="154"/>
      <c r="L23" s="154"/>
      <c r="M23" s="154"/>
      <c r="N23" s="154"/>
      <c r="O23" s="154"/>
      <c r="P23" s="154"/>
      <c r="Q23" s="154"/>
      <c r="R23" s="154"/>
      <c r="S23" s="154"/>
      <c r="BA23" s="91"/>
      <c r="BB23" s="92"/>
      <c r="BC23" s="92"/>
      <c r="BD23" s="92"/>
      <c r="BE23" s="92"/>
      <c r="BF23" s="92"/>
      <c r="BG23" s="92"/>
      <c r="BH23" s="92"/>
      <c r="BI23" s="92"/>
      <c r="BJ23" s="92"/>
      <c r="BK23" s="92"/>
      <c r="BL23" s="92"/>
      <c r="BM23" s="92"/>
      <c r="BN23" s="92"/>
      <c r="BO23" s="92"/>
      <c r="BP23" s="92"/>
      <c r="BQ23" s="92"/>
      <c r="BR23" s="92"/>
      <c r="BS23" s="92"/>
      <c r="BT23" s="92"/>
      <c r="BU23" s="92"/>
      <c r="BV23" s="92"/>
      <c r="BW23" s="92"/>
      <c r="BX23" s="92"/>
      <c r="BY23" s="92"/>
      <c r="BZ23" s="92"/>
      <c r="CA23" s="92"/>
      <c r="CB23" s="92"/>
      <c r="CC23" s="92"/>
      <c r="CD23" s="92"/>
      <c r="CE23" s="92"/>
      <c r="CF23" s="92"/>
      <c r="CG23" s="92"/>
      <c r="CH23" s="92"/>
      <c r="CI23" s="92"/>
      <c r="CJ23" s="92"/>
      <c r="CK23" s="92"/>
      <c r="CL23" s="92"/>
      <c r="CM23" s="92"/>
      <c r="CN23" s="92"/>
      <c r="CO23" s="92"/>
      <c r="CP23" s="93"/>
    </row>
    <row r="24" spans="2:94" ht="9.9499999999999993" customHeight="1" x14ac:dyDescent="0.25">
      <c r="B24" s="154"/>
      <c r="C24" s="154"/>
      <c r="D24" s="154"/>
      <c r="E24" s="154"/>
      <c r="F24" s="154"/>
      <c r="G24" s="154"/>
      <c r="H24" s="154"/>
      <c r="I24" s="154"/>
      <c r="J24" s="154"/>
      <c r="K24" s="154"/>
      <c r="L24" s="154"/>
      <c r="M24" s="154"/>
      <c r="N24" s="154"/>
      <c r="O24" s="154"/>
      <c r="P24" s="154"/>
      <c r="Q24" s="154"/>
      <c r="R24" s="154"/>
      <c r="S24" s="154"/>
      <c r="BA24" s="91"/>
      <c r="BB24" s="92"/>
      <c r="BC24" s="92"/>
      <c r="BD24" s="92"/>
      <c r="BE24" s="92"/>
      <c r="BF24" s="92"/>
      <c r="BG24" s="92"/>
      <c r="BH24" s="92"/>
      <c r="BI24" s="92"/>
      <c r="BJ24" s="92"/>
      <c r="BK24" s="92"/>
      <c r="BL24" s="92"/>
      <c r="BM24" s="92"/>
      <c r="BN24" s="92"/>
      <c r="BO24" s="92"/>
      <c r="BP24" s="92"/>
      <c r="BQ24" s="92"/>
      <c r="BR24" s="92"/>
      <c r="BS24" s="92"/>
      <c r="BT24" s="92"/>
      <c r="BU24" s="92"/>
      <c r="BV24" s="92"/>
      <c r="BW24" s="92"/>
      <c r="BX24" s="92"/>
      <c r="BY24" s="92"/>
      <c r="BZ24" s="92"/>
      <c r="CA24" s="92"/>
      <c r="CB24" s="92"/>
      <c r="CC24" s="92"/>
      <c r="CD24" s="92"/>
      <c r="CE24" s="92"/>
      <c r="CF24" s="92"/>
      <c r="CG24" s="92"/>
      <c r="CH24" s="92"/>
      <c r="CI24" s="92"/>
      <c r="CJ24" s="92"/>
      <c r="CK24" s="92"/>
      <c r="CL24" s="92"/>
      <c r="CM24" s="92"/>
      <c r="CN24" s="92"/>
      <c r="CO24" s="92"/>
      <c r="CP24" s="93"/>
    </row>
    <row r="25" spans="2:94" ht="9.9499999999999993" customHeight="1" x14ac:dyDescent="0.25">
      <c r="B25" s="154"/>
      <c r="C25" s="154"/>
      <c r="D25" s="154"/>
      <c r="E25" s="154"/>
      <c r="F25" s="154"/>
      <c r="G25" s="154"/>
      <c r="H25" s="154"/>
      <c r="I25" s="154"/>
      <c r="J25" s="154"/>
      <c r="K25" s="154"/>
      <c r="L25" s="154"/>
      <c r="M25" s="154"/>
      <c r="N25" s="154"/>
      <c r="O25" s="154"/>
      <c r="P25" s="154"/>
      <c r="Q25" s="154"/>
      <c r="R25" s="154"/>
      <c r="S25" s="154"/>
    </row>
    <row r="26" spans="2:94" ht="9.9499999999999993" customHeight="1" x14ac:dyDescent="0.25">
      <c r="B26" s="154"/>
      <c r="C26" s="154"/>
      <c r="D26" s="154"/>
      <c r="E26" s="154"/>
      <c r="F26" s="154"/>
      <c r="G26" s="154"/>
      <c r="H26" s="154"/>
      <c r="I26" s="154"/>
      <c r="J26" s="154"/>
      <c r="K26" s="154"/>
      <c r="L26" s="154"/>
      <c r="M26" s="154"/>
      <c r="N26" s="154"/>
      <c r="O26" s="154"/>
      <c r="P26" s="154"/>
      <c r="Q26" s="154"/>
      <c r="R26" s="154"/>
      <c r="S26" s="154"/>
    </row>
    <row r="27" spans="2:94" ht="9.9499999999999993" customHeight="1" x14ac:dyDescent="0.25">
      <c r="B27" s="154"/>
      <c r="C27" s="154"/>
      <c r="D27" s="154"/>
      <c r="E27" s="154"/>
      <c r="F27" s="154"/>
      <c r="G27" s="154"/>
      <c r="H27" s="154"/>
      <c r="I27" s="154"/>
      <c r="J27" s="154"/>
      <c r="K27" s="154"/>
      <c r="L27" s="154"/>
      <c r="M27" s="154"/>
      <c r="N27" s="154"/>
      <c r="O27" s="154"/>
      <c r="P27" s="154"/>
      <c r="Q27" s="154"/>
      <c r="R27" s="154"/>
      <c r="S27" s="154"/>
    </row>
    <row r="28" spans="2:94" ht="9.9499999999999993" customHeight="1" x14ac:dyDescent="0.25">
      <c r="B28" s="154"/>
      <c r="C28" s="154"/>
      <c r="D28" s="154"/>
      <c r="E28" s="154"/>
      <c r="F28" s="154"/>
      <c r="G28" s="154"/>
      <c r="H28" s="154"/>
      <c r="I28" s="154"/>
      <c r="J28" s="154"/>
      <c r="K28" s="154"/>
      <c r="L28" s="154"/>
      <c r="M28" s="154"/>
      <c r="N28" s="154"/>
      <c r="O28" s="154"/>
      <c r="P28" s="154"/>
      <c r="Q28" s="154"/>
      <c r="R28" s="154"/>
      <c r="S28" s="154"/>
    </row>
    <row r="29" spans="2:94" ht="9.9499999999999993" customHeight="1" x14ac:dyDescent="0.25">
      <c r="B29" s="154"/>
      <c r="C29" s="154"/>
      <c r="D29" s="154"/>
      <c r="E29" s="154"/>
      <c r="F29" s="154"/>
      <c r="G29" s="154"/>
      <c r="H29" s="154"/>
      <c r="I29" s="154"/>
      <c r="J29" s="154"/>
      <c r="K29" s="154"/>
      <c r="L29" s="154"/>
      <c r="M29" s="154"/>
      <c r="N29" s="154"/>
      <c r="O29" s="154"/>
      <c r="P29" s="154"/>
      <c r="Q29" s="154"/>
      <c r="R29" s="154"/>
      <c r="S29" s="154"/>
    </row>
    <row r="30" spans="2:94" ht="9.9499999999999993" customHeight="1" x14ac:dyDescent="0.25">
      <c r="B30" s="154"/>
      <c r="C30" s="154"/>
      <c r="D30" s="154"/>
      <c r="E30" s="154"/>
      <c r="F30" s="154"/>
      <c r="G30" s="154"/>
      <c r="H30" s="154"/>
      <c r="I30" s="154"/>
      <c r="J30" s="154"/>
      <c r="K30" s="154"/>
      <c r="L30" s="154"/>
      <c r="M30" s="154"/>
      <c r="N30" s="154"/>
      <c r="O30" s="154"/>
      <c r="P30" s="154"/>
      <c r="Q30" s="154"/>
      <c r="R30" s="154"/>
      <c r="S30" s="154"/>
    </row>
    <row r="31" spans="2:94" ht="9.9499999999999993" customHeight="1" x14ac:dyDescent="0.25">
      <c r="B31" s="154"/>
      <c r="C31" s="154"/>
      <c r="D31" s="154"/>
      <c r="E31" s="154"/>
      <c r="F31" s="154"/>
      <c r="G31" s="154"/>
      <c r="H31" s="154"/>
      <c r="I31" s="154"/>
      <c r="J31" s="154"/>
      <c r="K31" s="154"/>
      <c r="L31" s="154"/>
      <c r="M31" s="154"/>
      <c r="N31" s="154"/>
      <c r="O31" s="154"/>
      <c r="P31" s="154"/>
      <c r="Q31" s="154"/>
      <c r="R31" s="154"/>
      <c r="S31" s="154"/>
    </row>
  </sheetData>
  <sheetProtection formatCells="0"/>
  <mergeCells count="1">
    <mergeCell ref="B2:S31"/>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X21"/>
  <sheetViews>
    <sheetView workbookViewId="0">
      <selection activeCell="M11" sqref="M11"/>
    </sheetView>
  </sheetViews>
  <sheetFormatPr defaultRowHeight="15" x14ac:dyDescent="0.25"/>
  <cols>
    <col min="1" max="16384" width="9.140625" style="1"/>
  </cols>
  <sheetData>
    <row r="1" spans="5:24" x14ac:dyDescent="0.25">
      <c r="E1" s="2"/>
      <c r="F1" s="2"/>
      <c r="G1" s="2"/>
      <c r="H1" s="2"/>
      <c r="I1" s="2"/>
      <c r="J1" s="2"/>
      <c r="K1" s="2"/>
      <c r="L1" s="2"/>
      <c r="M1" s="2"/>
      <c r="N1" s="2"/>
      <c r="O1" s="2"/>
      <c r="P1" s="2"/>
      <c r="Q1" s="2"/>
      <c r="R1" s="2"/>
      <c r="S1" s="2"/>
      <c r="T1" s="2"/>
      <c r="U1" s="2"/>
      <c r="V1" s="2"/>
      <c r="W1" s="2"/>
      <c r="X1" s="2"/>
    </row>
    <row r="2" spans="5:24" x14ac:dyDescent="0.25">
      <c r="E2" s="3"/>
      <c r="F2" s="43"/>
      <c r="G2" s="44"/>
      <c r="H2" s="44"/>
      <c r="I2" s="44"/>
      <c r="J2" s="44"/>
      <c r="K2" s="44"/>
      <c r="L2" s="44"/>
      <c r="M2" s="44"/>
      <c r="N2" s="44"/>
      <c r="O2" s="44"/>
      <c r="P2" s="44"/>
      <c r="Q2" s="44"/>
      <c r="R2" s="44"/>
      <c r="S2" s="44"/>
      <c r="T2" s="44"/>
      <c r="U2" s="44"/>
      <c r="V2" s="44"/>
      <c r="W2" s="44"/>
      <c r="X2" s="44"/>
    </row>
    <row r="3" spans="5:24" x14ac:dyDescent="0.25">
      <c r="E3" s="3"/>
      <c r="F3" s="45"/>
      <c r="G3" s="46"/>
      <c r="H3" s="46"/>
      <c r="I3" s="46"/>
      <c r="J3" s="46"/>
      <c r="K3" s="46"/>
      <c r="L3" s="46"/>
      <c r="M3" s="46"/>
      <c r="N3" s="46"/>
      <c r="O3" s="46"/>
      <c r="P3" s="46"/>
      <c r="Q3" s="46"/>
      <c r="R3" s="46"/>
      <c r="S3" s="46"/>
      <c r="T3" s="46"/>
      <c r="U3" s="46"/>
      <c r="V3" s="46"/>
      <c r="W3" s="46"/>
      <c r="X3" s="46"/>
    </row>
    <row r="4" spans="5:24" x14ac:dyDescent="0.25">
      <c r="E4" s="3"/>
      <c r="F4" s="45"/>
      <c r="G4" s="46"/>
      <c r="H4" s="46"/>
      <c r="I4" s="46"/>
      <c r="J4" s="46"/>
      <c r="K4" s="46"/>
      <c r="L4" s="46"/>
      <c r="M4" s="46"/>
      <c r="N4" s="46"/>
      <c r="O4" s="46"/>
      <c r="P4" s="46"/>
      <c r="Q4" s="46"/>
      <c r="R4" s="46"/>
      <c r="S4" s="46"/>
      <c r="T4" s="46"/>
      <c r="U4" s="46"/>
      <c r="V4" s="46"/>
      <c r="W4" s="46"/>
      <c r="X4" s="46"/>
    </row>
    <row r="5" spans="5:24" x14ac:dyDescent="0.25">
      <c r="E5" s="3"/>
      <c r="F5" s="45"/>
      <c r="G5" s="46"/>
      <c r="H5" s="46"/>
      <c r="I5" s="46"/>
      <c r="J5" s="46"/>
      <c r="K5" s="46"/>
      <c r="L5" s="46"/>
      <c r="M5" s="46"/>
      <c r="N5" s="46"/>
      <c r="O5" s="46"/>
      <c r="P5" s="46"/>
      <c r="Q5" s="46"/>
      <c r="R5" s="46"/>
      <c r="S5" s="46"/>
      <c r="T5" s="46"/>
      <c r="U5" s="46"/>
      <c r="V5" s="46"/>
      <c r="W5" s="46"/>
      <c r="X5" s="46"/>
    </row>
    <row r="6" spans="5:24" x14ac:dyDescent="0.25">
      <c r="E6" s="3"/>
      <c r="F6" s="45"/>
      <c r="G6" s="46"/>
      <c r="H6" s="46"/>
      <c r="I6" s="46"/>
      <c r="J6" s="46"/>
      <c r="K6" s="46"/>
      <c r="L6" s="46"/>
      <c r="M6" s="46"/>
      <c r="N6" s="46"/>
      <c r="O6" s="46"/>
      <c r="P6" s="46"/>
      <c r="Q6" s="46"/>
      <c r="R6" s="46"/>
      <c r="S6" s="46"/>
      <c r="T6" s="46"/>
      <c r="U6" s="46"/>
      <c r="V6" s="46"/>
      <c r="W6" s="46"/>
      <c r="X6" s="46"/>
    </row>
    <row r="7" spans="5:24" x14ac:dyDescent="0.25">
      <c r="E7" s="3"/>
      <c r="F7" s="45"/>
      <c r="G7" s="46"/>
      <c r="H7" s="46"/>
      <c r="I7" s="46"/>
      <c r="J7" s="46"/>
      <c r="K7" s="46"/>
      <c r="L7" s="46"/>
      <c r="M7" s="46"/>
      <c r="N7" s="46"/>
      <c r="O7" s="46"/>
      <c r="P7" s="46"/>
      <c r="Q7" s="46"/>
      <c r="R7" s="46"/>
      <c r="S7" s="46"/>
      <c r="T7" s="46"/>
      <c r="U7" s="46"/>
      <c r="V7" s="46"/>
      <c r="W7" s="46"/>
      <c r="X7" s="46"/>
    </row>
    <row r="8" spans="5:24" x14ac:dyDescent="0.25">
      <c r="E8" s="3"/>
      <c r="F8" s="45"/>
      <c r="G8" s="46"/>
      <c r="H8" s="46"/>
      <c r="I8" s="46"/>
      <c r="J8" s="46"/>
      <c r="K8" s="46"/>
      <c r="L8" s="46"/>
      <c r="M8" s="46"/>
      <c r="N8" s="46"/>
      <c r="O8" s="46"/>
      <c r="P8" s="46"/>
      <c r="Q8" s="46"/>
      <c r="R8" s="46"/>
      <c r="S8" s="46"/>
      <c r="T8" s="46"/>
      <c r="U8" s="46"/>
      <c r="V8" s="46"/>
      <c r="W8" s="46"/>
      <c r="X8" s="46"/>
    </row>
    <row r="9" spans="5:24" x14ac:dyDescent="0.25">
      <c r="E9" s="3"/>
      <c r="F9" s="45"/>
      <c r="G9" s="46"/>
      <c r="H9" s="46"/>
      <c r="I9" s="46"/>
      <c r="J9" s="46"/>
      <c r="K9" s="46"/>
      <c r="L9" s="46"/>
      <c r="M9" s="46"/>
      <c r="N9" s="46"/>
      <c r="O9" s="46"/>
      <c r="P9" s="46">
        <v>293</v>
      </c>
      <c r="Q9" s="46"/>
      <c r="R9" s="46"/>
      <c r="S9" s="46"/>
      <c r="T9" s="46"/>
      <c r="U9" s="46"/>
      <c r="V9" s="46"/>
      <c r="W9" s="46"/>
      <c r="X9" s="46"/>
    </row>
    <row r="10" spans="5:24" x14ac:dyDescent="0.25">
      <c r="E10" s="3"/>
      <c r="F10" s="45"/>
      <c r="G10" s="46"/>
      <c r="H10" s="46"/>
      <c r="I10" s="46"/>
      <c r="J10" s="46"/>
      <c r="K10" s="46"/>
      <c r="L10" s="46"/>
      <c r="M10" s="46"/>
      <c r="N10" s="46"/>
      <c r="O10" s="46"/>
      <c r="P10" s="46"/>
      <c r="Q10" s="46"/>
      <c r="R10" s="46"/>
      <c r="S10" s="46"/>
      <c r="T10" s="46"/>
      <c r="U10" s="46"/>
      <c r="V10" s="46"/>
      <c r="W10" s="46"/>
      <c r="X10" s="46"/>
    </row>
    <row r="11" spans="5:24" x14ac:dyDescent="0.25">
      <c r="E11" s="3"/>
      <c r="F11" s="45"/>
      <c r="G11" s="46"/>
      <c r="H11" s="46"/>
      <c r="I11" s="46"/>
      <c r="J11" s="46"/>
      <c r="K11" s="46"/>
      <c r="L11" s="46"/>
      <c r="M11" s="46"/>
      <c r="N11" s="46"/>
      <c r="O11" s="46"/>
      <c r="P11" s="46"/>
      <c r="Q11" s="46"/>
      <c r="R11" s="46"/>
      <c r="S11" s="46"/>
      <c r="T11" s="46"/>
      <c r="U11" s="46"/>
      <c r="V11" s="46"/>
      <c r="W11" s="46"/>
      <c r="X11" s="46"/>
    </row>
    <row r="12" spans="5:24" x14ac:dyDescent="0.25">
      <c r="E12" s="3"/>
      <c r="F12" s="45"/>
      <c r="G12" s="46"/>
      <c r="H12" s="46"/>
      <c r="I12" s="46"/>
      <c r="J12" s="46"/>
      <c r="K12" s="46"/>
      <c r="L12" s="46"/>
      <c r="M12" s="46"/>
      <c r="N12" s="46"/>
      <c r="O12" s="46"/>
      <c r="P12" s="46"/>
      <c r="Q12" s="46"/>
      <c r="R12" s="46"/>
      <c r="S12" s="46"/>
      <c r="T12" s="46"/>
      <c r="U12" s="46"/>
      <c r="V12" s="46"/>
      <c r="W12" s="46"/>
      <c r="X12" s="46"/>
    </row>
    <row r="13" spans="5:24" x14ac:dyDescent="0.25">
      <c r="E13" s="3"/>
      <c r="F13" s="45"/>
      <c r="G13" s="46"/>
      <c r="H13" s="46"/>
      <c r="I13" s="46"/>
      <c r="J13" s="46"/>
      <c r="K13" s="46"/>
      <c r="L13" s="46"/>
      <c r="M13" s="46"/>
      <c r="N13" s="46"/>
      <c r="O13" s="46"/>
      <c r="P13" s="46"/>
      <c r="Q13" s="46"/>
      <c r="R13" s="46"/>
      <c r="S13" s="46"/>
      <c r="T13" s="46"/>
      <c r="U13" s="46"/>
      <c r="V13" s="46"/>
      <c r="W13" s="46"/>
      <c r="X13" s="46"/>
    </row>
    <row r="14" spans="5:24" x14ac:dyDescent="0.25">
      <c r="E14" s="3"/>
      <c r="F14" s="45"/>
      <c r="G14" s="46"/>
      <c r="H14" s="46"/>
      <c r="I14" s="46"/>
      <c r="J14" s="46"/>
      <c r="K14" s="46"/>
      <c r="L14" s="46"/>
      <c r="M14" s="46"/>
      <c r="N14" s="46"/>
      <c r="O14" s="46"/>
      <c r="P14" s="46"/>
      <c r="Q14" s="46"/>
      <c r="R14" s="46"/>
      <c r="S14" s="46"/>
      <c r="T14" s="46"/>
      <c r="U14" s="46"/>
      <c r="V14" s="46"/>
      <c r="W14" s="46"/>
      <c r="X14" s="46"/>
    </row>
    <row r="15" spans="5:24" x14ac:dyDescent="0.25">
      <c r="E15" s="3"/>
      <c r="F15" s="45"/>
      <c r="G15" s="46"/>
      <c r="H15" s="46"/>
      <c r="I15" s="46"/>
      <c r="J15" s="46"/>
      <c r="K15" s="46"/>
      <c r="L15" s="46"/>
      <c r="M15" s="46"/>
      <c r="N15" s="46"/>
      <c r="O15" s="46"/>
      <c r="P15" s="46"/>
      <c r="Q15" s="46"/>
      <c r="R15" s="46"/>
      <c r="S15" s="46"/>
      <c r="T15" s="46"/>
      <c r="U15" s="46"/>
      <c r="V15" s="46"/>
      <c r="W15" s="46"/>
      <c r="X15" s="46"/>
    </row>
    <row r="16" spans="5:24" x14ac:dyDescent="0.25">
      <c r="E16" s="3"/>
      <c r="F16" s="45"/>
      <c r="G16" s="46"/>
      <c r="H16" s="46"/>
      <c r="I16" s="46"/>
      <c r="J16" s="46"/>
      <c r="K16" s="46"/>
      <c r="L16" s="46"/>
      <c r="M16" s="46"/>
      <c r="N16" s="46"/>
      <c r="O16" s="46"/>
      <c r="P16" s="46"/>
      <c r="Q16" s="46"/>
      <c r="R16" s="46"/>
      <c r="S16" s="46"/>
      <c r="T16" s="46"/>
      <c r="U16" s="46"/>
      <c r="V16" s="46"/>
      <c r="W16" s="46"/>
      <c r="X16" s="46"/>
    </row>
    <row r="17" spans="5:24" x14ac:dyDescent="0.25">
      <c r="E17" s="3"/>
      <c r="F17" s="45"/>
      <c r="G17" s="46"/>
      <c r="H17" s="46"/>
      <c r="I17" s="46"/>
      <c r="J17" s="46"/>
      <c r="K17" s="46"/>
      <c r="L17" s="46"/>
      <c r="M17" s="46"/>
      <c r="N17" s="46"/>
      <c r="O17" s="46"/>
      <c r="P17" s="46"/>
      <c r="Q17" s="46"/>
      <c r="R17" s="46"/>
      <c r="S17" s="46"/>
      <c r="T17" s="46"/>
      <c r="U17" s="46"/>
      <c r="V17" s="46"/>
      <c r="W17" s="46"/>
      <c r="X17" s="46"/>
    </row>
    <row r="18" spans="5:24" x14ac:dyDescent="0.25">
      <c r="E18" s="3"/>
      <c r="F18" s="45"/>
      <c r="G18" s="46"/>
      <c r="H18" s="46"/>
      <c r="I18" s="46"/>
      <c r="J18" s="46"/>
      <c r="K18" s="46"/>
      <c r="L18" s="46"/>
      <c r="M18" s="46"/>
      <c r="N18" s="46"/>
      <c r="O18" s="46"/>
      <c r="P18" s="46"/>
      <c r="Q18" s="46"/>
      <c r="R18" s="46"/>
      <c r="S18" s="46"/>
      <c r="T18" s="46"/>
      <c r="U18" s="46"/>
      <c r="V18" s="46"/>
      <c r="W18" s="46"/>
      <c r="X18" s="46"/>
    </row>
    <row r="19" spans="5:24" x14ac:dyDescent="0.25">
      <c r="E19" s="3"/>
      <c r="F19" s="45"/>
      <c r="G19" s="46"/>
      <c r="H19" s="46"/>
      <c r="I19" s="46"/>
      <c r="J19" s="46"/>
      <c r="K19" s="46"/>
      <c r="L19" s="46"/>
      <c r="M19" s="46"/>
      <c r="N19" s="46"/>
      <c r="O19" s="46"/>
      <c r="P19" s="46"/>
      <c r="Q19" s="46"/>
      <c r="R19" s="46"/>
      <c r="S19" s="46"/>
      <c r="T19" s="46"/>
      <c r="U19" s="46"/>
      <c r="V19" s="46"/>
      <c r="W19" s="46"/>
      <c r="X19" s="46"/>
    </row>
    <row r="20" spans="5:24" x14ac:dyDescent="0.25">
      <c r="E20" s="3"/>
      <c r="F20" s="45"/>
      <c r="G20" s="46"/>
      <c r="H20" s="46"/>
      <c r="I20" s="46"/>
      <c r="J20" s="46"/>
      <c r="K20" s="46"/>
      <c r="L20" s="46"/>
      <c r="M20" s="46"/>
      <c r="N20" s="46"/>
      <c r="O20" s="46"/>
      <c r="P20" s="46"/>
      <c r="Q20" s="46"/>
      <c r="R20" s="46"/>
      <c r="S20" s="46"/>
      <c r="T20" s="46"/>
      <c r="U20" s="46"/>
      <c r="V20" s="46"/>
      <c r="W20" s="46"/>
      <c r="X20" s="46"/>
    </row>
    <row r="21" spans="5:24" x14ac:dyDescent="0.25">
      <c r="E21" s="3"/>
      <c r="F21" s="47"/>
      <c r="G21" s="48"/>
      <c r="H21" s="48"/>
      <c r="I21" s="48"/>
      <c r="J21" s="48"/>
      <c r="K21" s="48"/>
      <c r="L21" s="48"/>
      <c r="M21" s="48"/>
      <c r="N21" s="48"/>
      <c r="O21" s="48"/>
      <c r="P21" s="48"/>
      <c r="Q21" s="48"/>
      <c r="R21" s="48"/>
      <c r="S21" s="48"/>
      <c r="T21" s="48"/>
      <c r="U21" s="48"/>
      <c r="V21" s="48"/>
      <c r="W21" s="48"/>
      <c r="X21" s="48"/>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I18" sqref="I18"/>
    </sheetView>
  </sheetViews>
  <sheetFormatPr defaultRowHeight="15" x14ac:dyDescent="0.2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A Word</vt:lpstr>
      <vt:lpstr>Certificate!Print_Area</vt:lpstr>
    </vt:vector>
  </TitlesOfParts>
  <Company>Boehringer Ingelheim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zxSIN Ghani,Helmi (FCO) EXTERNAL</dc:creator>
  <cp:lastModifiedBy>zxSIN Ghani,Helmi (FCO) EXTERNAL</cp:lastModifiedBy>
  <cp:lastPrinted>2018-07-09T08:40:23Z</cp:lastPrinted>
  <dcterms:created xsi:type="dcterms:W3CDTF">2018-07-05T01:25:34Z</dcterms:created>
  <dcterms:modified xsi:type="dcterms:W3CDTF">2018-07-19T09:22:54Z</dcterms:modified>
</cp:coreProperties>
</file>